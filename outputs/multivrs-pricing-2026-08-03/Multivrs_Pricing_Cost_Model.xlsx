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57b675248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 &amp; Examples" sheetId="1" r:id="Rabd6ba1e91cd4a1f"/>
    <x:sheet xmlns:r="http://schemas.openxmlformats.org/officeDocument/2006/relationships" name="Quote Builder" sheetId="2" r:id="R4709a30654c54db7"/>
    <x:sheet xmlns:r="http://schemas.openxmlformats.org/officeDocument/2006/relationships" name="Meter Rates" sheetId="3" r:id="Rc93923a3f09f43e4"/>
    <x:sheet xmlns:r="http://schemas.openxmlformats.org/officeDocument/2006/relationships" name="Feature Catalog" sheetId="4" r:id="R5dcc60e3129d48af"/>
    <x:sheet xmlns:r="http://schemas.openxmlformats.org/officeDocument/2006/relationships" name="Fixed Costs &amp; Fees" sheetId="5" r:id="Rb3a3de38e34c4096"/>
    <x:sheet xmlns:r="http://schemas.openxmlformats.org/officeDocument/2006/relationships" name="Sources" sheetId="6" r:id="R5b36f4e8efc7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$0.000"/>
    <x:numFmt numFmtId="202" formatCode="0.0%"/>
    <x:numFmt numFmtId="203" formatCode="$0.00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F6B7A"/>
      <x:name val="Carlito"/>
    </x:font>
    <x:font>
      <x:b/>
      <x:sz val="12"/>
      <x:color rgb="FF132238"/>
      <x:name val="Carlito"/>
    </x:font>
    <x:font>
      <x:b/>
      <x:sz val="11"/>
      <x:color rgb="FFFFFFFF"/>
      <x:name val="Carlito"/>
    </x:font>
    <x:font>
      <x:sz val="10"/>
      <x:color rgb="FF18212F"/>
      <x:name val="Carlito"/>
    </x:font>
    <x:font>
      <x:b/>
      <x:sz val="11"/>
      <x:color rgb="FF7C4A03"/>
      <x:name val="Carlito"/>
    </x:font>
    <x:font>
      <x:b/>
      <x:sz val="20"/>
      <x:color rgb="FFFFFFFF"/>
      <x:name val="Aptos"/>
    </x:font>
    <x:font>
      <x:i/>
      <x:sz val="10"/>
      <x:color rgb="FF5F6B7A"/>
      <x:name val="Aptos"/>
    </x:font>
    <x:font>
      <x:sz val="11"/>
      <x:name val="Aptos"/>
    </x:font>
    <x:font>
      <x:b/>
      <x:sz val="12"/>
      <x:color rgb="FF132238"/>
      <x:name val="Aptos"/>
    </x:font>
    <x:font>
      <x:b/>
      <x:sz val="11"/>
      <x:color rgb="FFFFFFFF"/>
      <x:name val="Aptos"/>
    </x:font>
    <x:font>
      <x:sz val="10"/>
      <x:color rgb="FF18212F"/>
      <x:name val="Aptos"/>
    </x:font>
    <x:font>
      <x:b/>
      <x:sz val="11"/>
      <x:color rgb="FF7C4A0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4F7FB"/>
      </x:patternFill>
    </x:fill>
    <x:fill>
      <x:patternFill patternType="solid">
        <x:fgColor rgb="FFDDE9F8"/>
      </x:patternFill>
    </x:fill>
    <x:fill>
      <x:patternFill patternType="solid">
        <x:fgColor rgb="FFEAF2FF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201" fontId="12" fillId="0" borderId="1" xfId="0" applyNumberFormat="1" applyFont="1" applyFill="1" applyBorder="1" applyAlignment="1">
      <x:alignment vertical="top" wrapText="1"/>
    </x:xf>
    <x:xf numFmtId="202" fontId="12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/>
    <x:xf numFmtId="203" fontId="9" fillId="5" borderId="1" xfId="0" applyNumberFormat="1" applyFont="1" applyFill="1" applyBorder="1"/>
    <x:xf numFmtId="202" fontId="9" fillId="5" borderId="1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203" fontId="4" fillId="2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12" fillId="5" borderId="1" xfId="0" applyNumberFormat="1" applyFont="1" applyFill="1" applyBorder="1" applyAlignment="1">
      <x:alignment vertical="top" wrapText="1"/>
    </x:xf>
    <x:xf numFmtId="203" fontId="11" fillId="2" borderId="1" xfId="0" applyNumberFormat="1" applyFont="1" applyFill="1" applyBorder="1" applyAlignment="1">
      <x:alignment vertical="center" wrapText="1"/>
    </x:xf>
    <x:xf numFmtId="203" fontId="1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7C4A03"/>
      </x:font>
      <x:fill>
        <x:patternFill patternType="solid">
          <x:bgColor rgb="FFFEF3C7"/>
        </x:patternFill>
      </x:fill>
    </x:dxf>
    <x:dxf>
      <x:font>
        <x:color rgb="FF7C4A03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94b5b1454499b" /><Relationship Type="http://schemas.openxmlformats.org/officeDocument/2006/relationships/theme" Target="/xl/theme/theme1.xml" Id="Rffe8e038a0da4946" /><Relationship Type="http://schemas.openxmlformats.org/officeDocument/2006/relationships/sharedStrings" Target="/xl/sharedStrings.xml" Id="R3a0e2a3e052e4419" /><Relationship Type="http://schemas.openxmlformats.org/officeDocument/2006/relationships/worksheet" Target="/xl/worksheets/sheet1.xml" Id="Rabd6ba1e91cd4a1f" /><Relationship Type="http://schemas.openxmlformats.org/officeDocument/2006/relationships/worksheet" Target="/xl/worksheets/sheet2.xml" Id="R4709a30654c54db7" /><Relationship Type="http://schemas.openxmlformats.org/officeDocument/2006/relationships/worksheet" Target="/xl/worksheets/sheet3.xml" Id="Rc93923a3f09f43e4" /><Relationship Type="http://schemas.openxmlformats.org/officeDocument/2006/relationships/worksheet" Target="/xl/worksheets/sheet4.xml" Id="R5dcc60e3129d48af" /><Relationship Type="http://schemas.openxmlformats.org/officeDocument/2006/relationships/worksheet" Target="/xl/worksheets/sheet5.xml" Id="Rb3a3de38e34c4096" /><Relationship Type="http://schemas.openxmlformats.org/officeDocument/2006/relationships/worksheet" Target="/xl/worksheets/sheet6.xml" Id="R5b36f4e8efc749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8" hidden="0" customWidth="1"/>
  </x:cols>
  <x:sheetData>
    <x:row r="1" ht="34" customHeight="1">
      <x:c r="A1" s="29" t="str">
        <x:v>Multivrs Pricing Cost Model</x:v>
      </x:c>
      <x:c r="B1" s="29" t="str">
        <x:v>Multivrs Pricing Cost Model</x:v>
      </x:c>
      <x:c r="C1" s="29" t="str">
        <x:v>Multivrs Pricing Cost Model</x:v>
      </x:c>
      <x:c r="D1" s="29" t="str">
        <x:v>Multivrs Pricing Cost Model</x:v>
      </x:c>
      <x:c r="E1" s="29" t="str">
        <x:v>Multivrs Pricing Cost Model</x:v>
      </x:c>
      <x:c r="F1" s="29" t="str">
        <x:v>Multivrs Pricing Cost Model</x:v>
      </x:c>
      <x:c r="G1" s="29" t="str">
        <x:v>Multivrs Pricing Cost Model</x:v>
      </x:c>
      <x:c r="H1" s="29" t="str">
        <x:v>Multivrs Pricing Cost Model</x:v>
      </x:c>
    </x:row>
    <x:row r="2" ht="30" customHeight="1">
      <x:c r="A2" s="30" t="str">
        <x:v>Editable quote assumptions, provider marginal costs, recommended customer rates, and worked 300 GB examples. USD unless stated otherwise.</x:v>
      </x:c>
      <x:c r="B2" s="30" t="str">
        <x:v>Editable quote assumptions, provider marginal costs, recommended customer rates, and worked 300 GB examples. USD unless stated otherwise.</x:v>
      </x:c>
      <x:c r="C2" s="30" t="str">
        <x:v>Editable quote assumptions, provider marginal costs, recommended customer rates, and worked 300 GB examples. USD unless stated otherwise.</x:v>
      </x:c>
      <x:c r="D2" s="30" t="str">
        <x:v>Editable quote assumptions, provider marginal costs, recommended customer rates, and worked 300 GB examples. USD unless stated otherwise.</x:v>
      </x:c>
      <x:c r="E2" s="30" t="str">
        <x:v>Editable quote assumptions, provider marginal costs, recommended customer rates, and worked 300 GB examples. USD unless stated otherwise.</x:v>
      </x:c>
      <x:c r="F2" s="30" t="str">
        <x:v>Editable quote assumptions, provider marginal costs, recommended customer rates, and worked 300 GB examples. USD unless stated otherwise.</x:v>
      </x:c>
      <x:c r="G2" s="30" t="str">
        <x:v>Editable quote assumptions, provider marginal costs, recommended customer rates, and worked 300 GB examples. USD unless stated otherwise.</x:v>
      </x:c>
      <x:c r="H2" s="30" t="str">
        <x:v>Editable quote assumptions, provider marginal costs, recommended customer rates, and worked 300 GB examples. USD unless stated otherwise.</x:v>
      </x:c>
    </x:row>
    <x:row r="3">
      <x:c r="A3" s="31"/>
      <x:c r="B3" s="31"/>
      <x:c r="C3" s="31"/>
      <x:c r="D3" s="31"/>
      <x:c r="E3" s="31"/>
      <x:c r="F3" s="31"/>
      <x:c r="G3" s="31"/>
      <x:c r="H3" s="31"/>
    </x:row>
    <x:row r="4" ht="26" customHeight="1">
      <x:c r="A4" s="32" t="str">
        <x:v>The important rule: never price from a feature name alone. Identify the billing meter and unit first.</x:v>
      </x:c>
      <x:c r="B4" s="32" t="str">
        <x:v>The important rule: never price from a feature name alone. Identify the billing meter and unit first.</x:v>
      </x:c>
      <x:c r="C4" s="32" t="str">
        <x:v>The important rule: never price from a feature name alone. Identify the billing meter and unit first.</x:v>
      </x:c>
      <x:c r="D4" s="32" t="str">
        <x:v>The important rule: never price from a feature name alone. Identify the billing meter and unit first.</x:v>
      </x:c>
      <x:c r="E4" s="32" t="str">
        <x:v>The important rule: never price from a feature name alone. Identify the billing meter and unit first.</x:v>
      </x:c>
      <x:c r="F4" s="32" t="str">
        <x:v>The important rule: never price from a feature name alone. Identify the billing meter and unit first.</x:v>
      </x:c>
      <x:c r="G4" s="32" t="str">
        <x:v>The important rule: never price from a feature name alone. Identify the billing meter and unit first.</x:v>
      </x:c>
      <x:c r="H4" s="32" t="str">
        <x:v>The important rule: never price from a feature name alone. Identify the billing meter and unit first.</x:v>
      </x:c>
    </x:row>
    <x:row r="5">
      <x:c r="A5" s="31"/>
      <x:c r="B5" s="31"/>
      <x:c r="C5" s="31"/>
      <x:c r="D5" s="31"/>
      <x:c r="E5" s="31"/>
      <x:c r="F5" s="31"/>
      <x:c r="G5" s="31"/>
      <x:c r="H5" s="31"/>
    </x:row>
    <x:row r="6" ht="28" customHeight="1">
      <x:c r="A6" s="33" t="str">
        <x:v>300 GB scenario</x:v>
      </x:c>
      <x:c r="B6" s="33" t="str">
        <x:v>Quantity</x:v>
      </x:c>
      <x:c r="C6" s="33" t="str">
        <x:v>Provider $/unit</x:v>
      </x:c>
      <x:c r="D6" s="33" t="str">
        <x:v>Sell $/unit</x:v>
      </x:c>
      <x:c r="E6" s="33" t="str">
        <x:v>Provider cost</x:v>
      </x:c>
      <x:c r="F6" s="33" t="str">
        <x:v>Customer usage charge</x:v>
      </x:c>
      <x:c r="G6" s="33" t="str">
        <x:v>Gross margin</x:v>
      </x:c>
      <x:c r="H6" s="33" t="str">
        <x:v>What it means</x:v>
      </x:c>
    </x:row>
    <x:row r="7">
      <x:c r="A7" s="34" t="str">
        <x:v>Fast Data Transfer — conservative container path</x:v>
      </x:c>
      <x:c r="B7" s="35" t="n">
        <x:v>300</x:v>
      </x:c>
      <x:c r="C7" s="36" t="n">
        <x:v>0.05</x:v>
      </x:c>
      <x:c r="D7" s="36" t="n">
        <x:v>0.1</x:v>
      </x:c>
      <x:c r="E7" s="36" t="n">
        <x:f>B7*C7</x:f>
        <x:v>15</x:v>
      </x:c>
      <x:c r="F7" s="36" t="n">
        <x:f>B7*D7</x:f>
        <x:v>30</x:v>
      </x:c>
      <x:c r="G7" s="37" t="n">
        <x:f>IF(F7=0,0,(F7-E7)/F7)</x:f>
        <x:v>0.5</x:v>
      </x:c>
      <x:c r="H7" s="34" t="str">
        <x:v>300 GB may cost up to $15 provider-side and is charged at $30; request/CPU charges remain separate.</x:v>
      </x:c>
    </x:row>
    <x:row r="8">
      <x:c r="A8" s="34" t="str">
        <x:v>Blob storage for one month</x:v>
      </x:c>
      <x:c r="B8" s="35" t="n">
        <x:v>300</x:v>
      </x:c>
      <x:c r="C8" s="36" t="n">
        <x:v>0.015</x:v>
      </x:c>
      <x:c r="D8" s="36" t="n">
        <x:v>0.04</x:v>
      </x:c>
      <x:c r="E8" s="36" t="n">
        <x:f>B8*C8</x:f>
        <x:v>4.5</x:v>
      </x:c>
      <x:c r="F8" s="36" t="n">
        <x:f>B8*D8</x:f>
        <x:v>12</x:v>
      </x:c>
      <x:c r="G8" s="37" t="n">
        <x:f>IF(F8=0,0,(F8-E8)/F8)</x:f>
        <x:v>0.625</x:v>
      </x:c>
      <x:c r="H8" s="34" t="str">
        <x:v>300 GB-month costs $4.50 and is charged at $12.</x:v>
      </x:c>
    </x:row>
    <x:row r="9">
      <x:c r="A9" s="34" t="str">
        <x:v>R2 delivery to Internet</x:v>
      </x:c>
      <x:c r="B9" s="35" t="n">
        <x:v>300</x:v>
      </x:c>
      <x:c r="C9" s="36" t="n">
        <x:v>0</x:v>
      </x:c>
      <x:c r="D9" s="36" t="n">
        <x:v>0.1</x:v>
      </x:c>
      <x:c r="E9" s="36" t="n">
        <x:f>B9*C9</x:f>
        <x:v>0</x:v>
      </x:c>
      <x:c r="F9" s="36" t="n">
        <x:f>B9*D9</x:f>
        <x:v>30</x:v>
      </x:c>
      <x:c r="G9" s="37" t="n">
        <x:f>IF(F9=0,0,(F9-E9)/F9)</x:f>
        <x:v>1</x:v>
      </x:c>
      <x:c r="H9" s="34" t="str">
        <x:v>R2 egress is free, but Worker requests/CPU and R2 read operations remain separate; the $30 charge funds those shared drivers and margin.</x:v>
      </x:c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 ht="26" customHeight="1">
      <x:c r="A12" s="32" t="str">
        <x:v>Recommended commercial policy</x:v>
      </x:c>
      <x:c r="B12" s="32" t="str">
        <x:v>Recommended commercial policy</x:v>
      </x:c>
      <x:c r="C12" s="32" t="str">
        <x:v>Recommended commercial policy</x:v>
      </x:c>
      <x:c r="D12" s="32" t="str">
        <x:v>Recommended commercial policy</x:v>
      </x:c>
      <x:c r="E12" s="32" t="str">
        <x:v>Recommended commercial policy</x:v>
      </x:c>
      <x:c r="F12" s="32" t="str">
        <x:v>Recommended commercial policy</x:v>
      </x:c>
      <x:c r="G12" s="32" t="str">
        <x:v>Recommended commercial policy</x:v>
      </x:c>
      <x:c r="H12" s="32" t="str">
        <x:v>Recommended commercial policy</x:v>
      </x:c>
    </x:row>
    <x:row r="13">
      <x:c r="A13" s="38" t="str">
        <x:v>Enterprise platform minimum (editable)</x:v>
      </x:c>
      <x:c r="B13" s="39" t="n">
        <x:v>500</x:v>
      </x:c>
      <x:c r="C13" s="31"/>
      <x:c r="D13" s="34" t="str">
        <x:v>Enterprise is a negotiated monthly contract, not a pick-your-GB plan.</x:v>
      </x:c>
      <x:c r="E13" s="34"/>
      <x:c r="F13" s="34"/>
      <x:c r="G13" s="34"/>
      <x:c r="H13" s="34"/>
    </x:row>
    <x:row r="14">
      <x:c r="A14" s="38" t="str">
        <x:v>Target gross margin floor</x:v>
      </x:c>
      <x:c r="B14" s="40" t="n">
        <x:v>0.6</x:v>
      </x:c>
      <x:c r="C14" s="31"/>
      <x:c r="D14" s="34" t="str">
        <x:v>Do not quote below this margin after direct provider and Stripe costs.</x:v>
      </x:c>
      <x:c r="E14" s="34"/>
      <x:c r="F14" s="34"/>
      <x:c r="G14" s="34"/>
      <x:c r="H14" s="34"/>
    </x:row>
    <x:row r="15">
      <x:c r="A15" s="38" t="str">
        <x:v>Stripe Billing reserve</x:v>
      </x:c>
      <x:c r="B15" s="40" t="n">
        <x:v>0.007</x:v>
      </x:c>
      <x:c r="C15" s="31"/>
      <x:c r="D15" s="34" t="str">
        <x:v>Current Stripe Billing pay-as-you-go fee.</x:v>
      </x:c>
      <x:c r="E15" s="34"/>
      <x:c r="F15" s="34"/>
      <x:c r="G15" s="34"/>
      <x:c r="H15" s="34"/>
    </x:row>
    <x:row r="16">
      <x:c r="A16" s="38" t="str">
        <x:v>Stripe Payments reserve</x:v>
      </x:c>
      <x:c r="B16" s="40" t="n">
        <x:v>0.029</x:v>
      </x:c>
      <x:c r="C16" s="31"/>
      <x:c r="D16" s="34" t="str">
        <x:v>US standard domestic card percentage shown; replace with your actual account rate.</x:v>
      </x:c>
      <x:c r="E16" s="34"/>
      <x:c r="F16" s="34"/>
      <x:c r="G16" s="34"/>
      <x:c r="H16" s="34"/>
    </x:row>
    <x:row r="17">
      <x:c r="A17" s="38" t="str">
        <x:v>Fixed payment fee reserve</x:v>
      </x:c>
      <x:c r="B17" s="39" t="n">
        <x:v>0.3</x:v>
      </x:c>
      <x:c r="C17" s="31"/>
      <x:c r="D17" s="34" t="str">
        <x:v>US standard fixed card fee shown.</x:v>
      </x:c>
      <x:c r="E17" s="34"/>
      <x:c r="F17" s="34"/>
      <x:c r="G17" s="34"/>
      <x:c r="H17" s="34"/>
    </x:row>
    <x:row r="18">
      <x:c r="A18" s="38" t="str">
        <x:v>Risk / support reserve</x:v>
      </x:c>
      <x:c r="B18" s="40" t="n">
        <x:v>0.1</x:v>
      </x:c>
      <x:c r="C18" s="31"/>
      <x:c r="D18" s="34" t="str">
        <x:v>Covers support, abuse, rounding, shared allowances and pricing changes.</x:v>
      </x:c>
      <x:c r="E18" s="34"/>
      <x:c r="F18" s="34"/>
      <x:c r="G18" s="34"/>
      <x:c r="H18" s="34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 ht="38" customHeight="1">
      <x:c r="A21" s="41" t="str">
        <x:v>Shared provider free allowances are account-wide. Do not promise the full Cloudflare allowance independently to every customer. The customer allowances in code are the enforceable Multivrs limits.</x:v>
      </x:c>
      <x:c r="B21" s="41" t="str">
        <x:v>Shared provider free allowances are account-wide. Do not promise the full Cloudflare allowance independently to every customer. The customer allowances in code are the enforceable Multivrs limits.</x:v>
      </x:c>
      <x:c r="C21" s="41" t="str">
        <x:v>Shared provider free allowances are account-wide. Do not promise the full Cloudflare allowance independently to every customer. The customer allowances in code are the enforceable Multivrs limits.</x:v>
      </x:c>
      <x:c r="D21" s="41" t="str">
        <x:v>Shared provider free allowances are account-wide. Do not promise the full Cloudflare allowance independently to every customer. The customer allowances in code are the enforceable Multivrs limits.</x:v>
      </x:c>
      <x:c r="E21" s="41" t="str">
        <x:v>Shared provider free allowances are account-wide. Do not promise the full Cloudflare allowance independently to every customer. The customer allowances in code are the enforceable Multivrs limits.</x:v>
      </x:c>
      <x:c r="F21" s="41" t="str">
        <x:v>Shared provider free allowances are account-wide. Do not promise the full Cloudflare allowance independently to every customer. The customer allowances in code are the enforceable Multivrs limits.</x:v>
      </x:c>
      <x:c r="G21" s="41" t="str">
        <x:v>Shared provider free allowances are account-wide. Do not promise the full Cloudflare allowance independently to every customer. The customer allowances in code are the enforceable Multivrs limits.</x:v>
      </x:c>
      <x:c r="H21" s="41" t="str">
        <x:v>Shared provider free allowances are account-wide. Do not promise the full Cloudflare allowance independently to every customer. The customer allowances in code are the enforceable Multivrs limits.</x:v>
      </x:c>
    </x:row>
    <x:row r="22">
      <x:c r="A22" s="31"/>
      <x:c r="B22" s="31"/>
      <x:c r="C22" s="31"/>
      <x:c r="D22" s="31"/>
      <x:c r="E22" s="31"/>
      <x:c r="F22" s="31"/>
      <x:c r="G22" s="31"/>
      <x:c r="H22" s="31"/>
    </x:row>
  </x:sheetData>
  <x:mergeCells>
    <x:mergeCell ref="A1:H1"/>
    <x:mergeCell ref="A2:H2"/>
    <x:mergeCell ref="A4:H4"/>
    <x:mergeCell ref="A12:H12"/>
    <x:mergeCell ref="D13:H13"/>
    <x:mergeCell ref="D14:H14"/>
    <x:mergeCell ref="D15:H15"/>
    <x:mergeCell ref="D16:H16"/>
    <x:mergeCell ref="D17:H17"/>
    <x:mergeCell ref="D18:H18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29" t="str">
        <x:v>Enterprise Quote Builder</x:v>
      </x:c>
      <x:c r="B1" s="29" t="str">
        <x:v>Enterprise Quote Builder</x:v>
      </x:c>
      <x:c r="C1" s="29" t="str">
        <x:v>Enterprise Quote Builder</x:v>
      </x:c>
      <x:c r="D1" s="29" t="str">
        <x:v>Enterprise Quote Builder</x:v>
      </x:c>
      <x:c r="E1" s="29" t="str">
        <x:v>Enterprise Quote Builder</x:v>
      </x:c>
      <x:c r="F1" s="29" t="str">
        <x:v>Enterprise Quote Builder</x:v>
      </x:c>
      <x:c r="G1" s="29" t="str">
        <x:v>Enterprise Quote Builder</x:v>
      </x:c>
      <x:c r="H1" s="29" t="str">
        <x:v>Enterprise Quote Builder</x:v>
      </x:c>
    </x:row>
    <x:row r="2" ht="30" customHeight="1">
      <x:c r="A2" s="30" t="str">
        <x:v>Blue cells are editable. Usage lines pull provider and recommended sell rates from Meter Rates. The base fee is separate from usage.</x:v>
      </x:c>
      <x:c r="B2" s="30" t="str">
        <x:v>Blue cells are editable. Usage lines pull provider and recommended sell rates from Meter Rates. The base fee is separate from usage.</x:v>
      </x:c>
      <x:c r="C2" s="30" t="str">
        <x:v>Blue cells are editable. Usage lines pull provider and recommended sell rates from Meter Rates. The base fee is separate from usage.</x:v>
      </x:c>
      <x:c r="D2" s="30" t="str">
        <x:v>Blue cells are editable. Usage lines pull provider and recommended sell rates from Meter Rates. The base fee is separate from usage.</x:v>
      </x:c>
      <x:c r="E2" s="30" t="str">
        <x:v>Blue cells are editable. Usage lines pull provider and recommended sell rates from Meter Rates. The base fee is separate from usage.</x:v>
      </x:c>
      <x:c r="F2" s="30" t="str">
        <x:v>Blue cells are editable. Usage lines pull provider and recommended sell rates from Meter Rates. The base fee is separate from usage.</x:v>
      </x:c>
      <x:c r="G2" s="30" t="str">
        <x:v>Blue cells are editable. Usage lines pull provider and recommended sell rates from Meter Rates. The base fee is separate from usage.</x:v>
      </x:c>
      <x:c r="H2" s="30" t="str">
        <x:v>Blue cells are editable. Usage lines pull provider and recommended sell rates from Meter Rates. The base fee is separate from usage.</x:v>
      </x:c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38" t="str">
        <x:v>Customer / account</x:v>
      </x:c>
      <x:c r="B4" s="51" t="str">
        <x:v>Example Enterprise Customer</x:v>
      </x:c>
      <x:c r="C4" s="38"/>
      <x:c r="D4" s="38" t="str">
        <x:v>Stripe fixed fee</x:v>
      </x:c>
      <x:c r="E4" s="39" t="n">
        <x:v>0.3</x:v>
      </x:c>
      <x:c r="F4" s="31"/>
      <x:c r="G4" s="31"/>
      <x:c r="H4" s="31"/>
    </x:row>
    <x:row r="5">
      <x:c r="A5" s="38" t="str">
        <x:v>Monthly platform fee</x:v>
      </x:c>
      <x:c r="B5" s="39" t="n">
        <x:v>500</x:v>
      </x:c>
      <x:c r="C5" s="38"/>
      <x:c r="D5" s="38" t="str">
        <x:v>Contract note</x:v>
      </x:c>
      <x:c r="E5" s="51" t="str">
        <x:v>Replace assumptions with actual negotiated support, WAF and payment terms.</x:v>
      </x:c>
      <x:c r="F5" s="31"/>
      <x:c r="G5" s="31"/>
      <x:c r="H5" s="31"/>
    </x:row>
    <x:row r="6">
      <x:c r="A6" s="38" t="str">
        <x:v>Risk / support reserve</x:v>
      </x:c>
      <x:c r="B6" s="40" t="n">
        <x:v>0.1</x:v>
      </x:c>
      <x:c r="C6" s="38"/>
      <x:c r="D6" s="38"/>
      <x:c r="E6" s="38"/>
      <x:c r="F6" s="31"/>
      <x:c r="G6" s="31"/>
      <x:c r="H6" s="31"/>
    </x:row>
    <x:row r="7">
      <x:c r="A7" s="38" t="str">
        <x:v>Stripe Billing %</x:v>
      </x:c>
      <x:c r="B7" s="40" t="n">
        <x:v>0.007</x:v>
      </x:c>
      <x:c r="C7" s="38"/>
      <x:c r="D7" s="38"/>
      <x:c r="E7" s="38"/>
      <x:c r="F7" s="31"/>
      <x:c r="G7" s="31"/>
      <x:c r="H7" s="31"/>
    </x:row>
    <x:row r="8">
      <x:c r="A8" s="38" t="str">
        <x:v>Stripe Payments %</x:v>
      </x:c>
      <x:c r="B8" s="40" t="n">
        <x:v>0.029</x:v>
      </x:c>
      <x:c r="C8" s="38"/>
      <x:c r="D8" s="38"/>
      <x:c r="E8" s="38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 ht="28" customHeight="1">
      <x:c r="A10" s="33" t="str">
        <x:v>Rate key</x:v>
      </x:c>
      <x:c r="B10" s="33" t="str">
        <x:v>Quantity</x:v>
      </x:c>
      <x:c r="C10" s="33" t="str">
        <x:v>Billing unit</x:v>
      </x:c>
      <x:c r="D10" s="33" t="str">
        <x:v>Provider $/unit</x:v>
      </x:c>
      <x:c r="E10" s="33" t="str">
        <x:v>Sell $/unit</x:v>
      </x:c>
      <x:c r="F10" s="33" t="str">
        <x:v>Provider cost</x:v>
      </x:c>
      <x:c r="G10" s="33" t="str">
        <x:v>Customer charge</x:v>
      </x:c>
      <x:c r="H10" s="33" t="str">
        <x:v>Line margin</x:v>
      </x:c>
    </x:row>
    <x:row r="11">
      <x:c r="A11" s="52" t="str">
        <x:v>fast_data_transfer_worst</x:v>
      </x:c>
      <x:c r="B11" s="52" t="n">
        <x:v>300</x:v>
      </x:c>
      <x:c r="C11" s="34" t="str">
        <x:f>IFERROR(VLOOKUP(A11,'Meter Rates'!$A$5:$M$47,4,FALSE),"")</x:f>
        <x:v>GB egress</x:v>
      </x:c>
      <x:c r="D11" s="36" t="n">
        <x:f>IFERROR(VLOOKUP(A11,'Meter Rates'!$A$5:$M$47,5,FALSE),0)</x:f>
        <x:v>0.05</x:v>
      </x:c>
      <x:c r="E11" s="36" t="n">
        <x:f>IFERROR(VLOOKUP(A11,'Meter Rates'!$A$5:$M$47,6,FALSE),0)</x:f>
        <x:v>0.1</x:v>
      </x:c>
      <x:c r="F11" s="36" t="n">
        <x:f>IF(A11="",0,B11*D11)</x:f>
        <x:v>15</x:v>
      </x:c>
      <x:c r="G11" s="36" t="n">
        <x:f>IF(A11="",0,B11*E11)</x:f>
        <x:v>30</x:v>
      </x:c>
      <x:c r="H11" s="37" t="n">
        <x:f>IF(G11=0,0,(G11-F11)/G11)</x:f>
        <x:v>0.5</x:v>
      </x:c>
    </x:row>
    <x:row r="12">
      <x:c r="A12" s="52" t="str">
        <x:v>edge_requests</x:v>
      </x:c>
      <x:c r="B12" s="52" t="n">
        <x:v>5</x:v>
      </x:c>
      <x:c r="C12" s="34" t="str">
        <x:f>IFERROR(VLOOKUP(A12,'Meter Rates'!$A$5:$M$47,4,FALSE),"")</x:f>
        <x:v>1M requests</x:v>
      </x:c>
      <x:c r="D12" s="36" t="n">
        <x:f>IFERROR(VLOOKUP(A12,'Meter Rates'!$A$5:$M$47,5,FALSE),0)</x:f>
        <x:v>0.3</x:v>
      </x:c>
      <x:c r="E12" s="36" t="n">
        <x:f>IFERROR(VLOOKUP(A12,'Meter Rates'!$A$5:$M$47,6,FALSE),0)</x:f>
        <x:v>1</x:v>
      </x:c>
      <x:c r="F12" s="36" t="n">
        <x:f>IF(A12="",0,B12*D12)</x:f>
        <x:v>1.5</x:v>
      </x:c>
      <x:c r="G12" s="36" t="n">
        <x:f>IF(A12="",0,B12*E12)</x:f>
        <x:v>5</x:v>
      </x:c>
      <x:c r="H12" s="37" t="n">
        <x:f>IF(G12=0,0,(G12-F12)/G12)</x:f>
        <x:v>0.7</x:v>
      </x:c>
    </x:row>
    <x:row r="13">
      <x:c r="A13" s="52" t="str">
        <x:v>workers_cpu</x:v>
      </x:c>
      <x:c r="B13" s="52" t="n">
        <x:v>20</x:v>
      </x:c>
      <x:c r="C13" s="34" t="str">
        <x:f>IFERROR(VLOOKUP(A13,'Meter Rates'!$A$5:$M$47,4,FALSE),"")</x:f>
        <x:v>1M CPU ms</x:v>
      </x:c>
      <x:c r="D13" s="36" t="n">
        <x:f>IFERROR(VLOOKUP(A13,'Meter Rates'!$A$5:$M$47,5,FALSE),0)</x:f>
        <x:v>0.02</x:v>
      </x:c>
      <x:c r="E13" s="36" t="n">
        <x:f>IFERROR(VLOOKUP(A13,'Meter Rates'!$A$5:$M$47,6,FALSE),0)</x:f>
        <x:v>0.06</x:v>
      </x:c>
      <x:c r="F13" s="36" t="n">
        <x:f>IF(A13="",0,B13*D13)</x:f>
        <x:v>0.4</x:v>
      </x:c>
      <x:c r="G13" s="36" t="n">
        <x:f>IF(A13="",0,B13*E13)</x:f>
        <x:v>1.2</x:v>
      </x:c>
      <x:c r="H13" s="37" t="n">
        <x:f>IF(G13=0,0,(G13-F13)/G13)</x:f>
        <x:v>0.6666666666666666</x:v>
      </x:c>
    </x:row>
    <x:row r="14">
      <x:c r="A14" s="52" t="str">
        <x:v>r2_storage</x:v>
      </x:c>
      <x:c r="B14" s="52" t="n">
        <x:v>100</x:v>
      </x:c>
      <x:c r="C14" s="34" t="str">
        <x:f>IFERROR(VLOOKUP(A14,'Meter Rates'!$A$5:$M$47,4,FALSE),"")</x:f>
        <x:v>GB-month</x:v>
      </x:c>
      <x:c r="D14" s="36" t="n">
        <x:f>IFERROR(VLOOKUP(A14,'Meter Rates'!$A$5:$M$47,5,FALSE),0)</x:f>
        <x:v>0.015</x:v>
      </x:c>
      <x:c r="E14" s="36" t="n">
        <x:f>IFERROR(VLOOKUP(A14,'Meter Rates'!$A$5:$M$47,6,FALSE),0)</x:f>
        <x:v>0.04</x:v>
      </x:c>
      <x:c r="F14" s="36" t="n">
        <x:f>IF(A14="",0,B14*D14)</x:f>
        <x:v>1.5</x:v>
      </x:c>
      <x:c r="G14" s="36" t="n">
        <x:f>IF(A14="",0,B14*E14)</x:f>
        <x:v>4</x:v>
      </x:c>
      <x:c r="H14" s="37" t="n">
        <x:f>IF(G14=0,0,(G14-F14)/G14)</x:f>
        <x:v>0.625</x:v>
      </x:c>
    </x:row>
    <x:row r="15">
      <x:c r="A15" s="52" t="str">
        <x:v>mail_units</x:v>
      </x:c>
      <x:c r="B15" s="52" t="n">
        <x:v>10</x:v>
      </x:c>
      <x:c r="C15" s="34" t="str">
        <x:f>IFERROR(VLOOKUP(A15,'Meter Rates'!$A$5:$M$47,4,FALSE),"")</x:f>
        <x:v>1K email units</x:v>
      </x:c>
      <x:c r="D15" s="36" t="n">
        <x:f>IFERROR(VLOOKUP(A15,'Meter Rates'!$A$5:$M$47,5,FALSE),0)</x:f>
        <x:v>0.9</x:v>
      </x:c>
      <x:c r="E15" s="36" t="n">
        <x:f>IFERROR(VLOOKUP(A15,'Meter Rates'!$A$5:$M$47,6,FALSE),0)</x:f>
        <x:v>2</x:v>
      </x:c>
      <x:c r="F15" s="36" t="n">
        <x:f>IF(A15="",0,B15*D15)</x:f>
        <x:v>9</x:v>
      </x:c>
      <x:c r="G15" s="36" t="n">
        <x:f>IF(A15="",0,B15*E15)</x:f>
        <x:v>20</x:v>
      </x:c>
      <x:c r="H15" s="37" t="n">
        <x:f>IF(G15=0,0,(G15-F15)/G15)</x:f>
        <x:v>0.55</x:v>
      </x:c>
    </x:row>
    <x:row r="16">
      <x:c r="A16" s="52" t="str">
        <x:v>analytics_writes</x:v>
      </x:c>
      <x:c r="B16" s="52" t="n">
        <x:v>2</x:v>
      </x:c>
      <x:c r="C16" s="34" t="str">
        <x:f>IFERROR(VLOOKUP(A16,'Meter Rates'!$A$5:$M$47,4,FALSE),"")</x:f>
        <x:v>1M events</x:v>
      </x:c>
      <x:c r="D16" s="36" t="n">
        <x:f>IFERROR(VLOOKUP(A16,'Meter Rates'!$A$5:$M$47,5,FALSE),0)</x:f>
        <x:v>0.25</x:v>
      </x:c>
      <x:c r="E16" s="36" t="n">
        <x:f>IFERROR(VLOOKUP(A16,'Meter Rates'!$A$5:$M$47,6,FALSE),0)</x:f>
        <x:v>0.75</x:v>
      </x:c>
      <x:c r="F16" s="36" t="n">
        <x:f>IF(A16="",0,B16*D16)</x:f>
        <x:v>0.5</x:v>
      </x:c>
      <x:c r="G16" s="36" t="n">
        <x:f>IF(A16="",0,B16*E16)</x:f>
        <x:v>1.5</x:v>
      </x:c>
      <x:c r="H16" s="37" t="n">
        <x:f>IF(G16=0,0,(G16-F16)/G16)</x:f>
        <x:v>0.6666666666666666</x:v>
      </x:c>
    </x:row>
    <x:row r="17">
      <x:c r="A17" s="52"/>
      <x:c r="B17" s="52"/>
      <x:c r="C17" s="34" t="str">
        <x:f>IFERROR(VLOOKUP(A17,'Meter Rates'!$A$5:$M$47,4,FALSE),"")</x:f>
      </x:c>
      <x:c r="D17" s="36" t="n">
        <x:f>IFERROR(VLOOKUP(A17,'Meter Rates'!$A$5:$M$47,5,FALSE),0)</x:f>
        <x:v>0</x:v>
      </x:c>
      <x:c r="E17" s="36" t="n">
        <x:f>IFERROR(VLOOKUP(A17,'Meter Rates'!$A$5:$M$47,6,FALSE),0)</x:f>
        <x:v>0</x:v>
      </x:c>
      <x:c r="F17" s="36" t="n">
        <x:f>IF(A17="",0,B17*D17)</x:f>
        <x:v>0</x:v>
      </x:c>
      <x:c r="G17" s="36" t="n">
        <x:f>IF(A17="",0,B17*E17)</x:f>
        <x:v>0</x:v>
      </x:c>
      <x:c r="H17" s="37" t="n">
        <x:f>IF(G17=0,0,(G17-F17)/G17)</x:f>
        <x:v>0</x:v>
      </x:c>
    </x:row>
    <x:row r="18">
      <x:c r="A18" s="52"/>
      <x:c r="B18" s="52"/>
      <x:c r="C18" s="34" t="str">
        <x:f>IFERROR(VLOOKUP(A18,'Meter Rates'!$A$5:$M$47,4,FALSE),"")</x:f>
      </x:c>
      <x:c r="D18" s="36" t="n">
        <x:f>IFERROR(VLOOKUP(A18,'Meter Rates'!$A$5:$M$47,5,FALSE),0)</x:f>
        <x:v>0</x:v>
      </x:c>
      <x:c r="E18" s="36" t="n">
        <x:f>IFERROR(VLOOKUP(A18,'Meter Rates'!$A$5:$M$47,6,FALSE),0)</x:f>
        <x:v>0</x:v>
      </x:c>
      <x:c r="F18" s="36" t="n">
        <x:f>IF(A18="",0,B18*D18)</x:f>
        <x:v>0</x:v>
      </x:c>
      <x:c r="G18" s="36" t="n">
        <x:f>IF(A18="",0,B18*E18)</x:f>
        <x:v>0</x:v>
      </x:c>
      <x:c r="H18" s="37" t="n">
        <x:f>IF(G18=0,0,(G18-F18)/G18)</x:f>
        <x:v>0</x:v>
      </x:c>
    </x:row>
    <x:row r="19">
      <x:c r="A19" s="52"/>
      <x:c r="B19" s="52"/>
      <x:c r="C19" s="34" t="str">
        <x:f>IFERROR(VLOOKUP(A19,'Meter Rates'!$A$5:$M$47,4,FALSE),"")</x:f>
      </x:c>
      <x:c r="D19" s="36" t="n">
        <x:f>IFERROR(VLOOKUP(A19,'Meter Rates'!$A$5:$M$47,5,FALSE),0)</x:f>
        <x:v>0</x:v>
      </x:c>
      <x:c r="E19" s="36" t="n">
        <x:f>IFERROR(VLOOKUP(A19,'Meter Rates'!$A$5:$M$47,6,FALSE),0)</x:f>
        <x:v>0</x:v>
      </x:c>
      <x:c r="F19" s="36" t="n">
        <x:f>IF(A19="",0,B19*D19)</x:f>
        <x:v>0</x:v>
      </x:c>
      <x:c r="G19" s="36" t="n">
        <x:f>IF(A19="",0,B19*E19)</x:f>
        <x:v>0</x:v>
      </x:c>
      <x:c r="H19" s="37" t="n">
        <x:f>IF(G19=0,0,(G19-F19)/G19)</x:f>
        <x:v>0</x:v>
      </x:c>
    </x:row>
    <x:row r="20">
      <x:c r="A20" s="52"/>
      <x:c r="B20" s="52"/>
      <x:c r="C20" s="34" t="str">
        <x:f>IFERROR(VLOOKUP(A20,'Meter Rates'!$A$5:$M$47,4,FALSE),"")</x:f>
      </x:c>
      <x:c r="D20" s="36" t="n">
        <x:f>IFERROR(VLOOKUP(A20,'Meter Rates'!$A$5:$M$47,5,FALSE),0)</x:f>
        <x:v>0</x:v>
      </x:c>
      <x:c r="E20" s="36" t="n">
        <x:f>IFERROR(VLOOKUP(A20,'Meter Rates'!$A$5:$M$47,6,FALSE),0)</x:f>
        <x:v>0</x:v>
      </x:c>
      <x:c r="F20" s="36" t="n">
        <x:f>IF(A20="",0,B20*D20)</x:f>
        <x:v>0</x:v>
      </x:c>
      <x:c r="G20" s="36" t="n">
        <x:f>IF(A20="",0,B20*E20)</x:f>
        <x:v>0</x:v>
      </x:c>
      <x:c r="H20" s="37" t="n">
        <x:f>IF(G20=0,0,(G20-F20)/G20)</x:f>
        <x:v>0</x:v>
      </x:c>
    </x:row>
    <x:row r="21">
      <x:c r="A21" s="52"/>
      <x:c r="B21" s="52"/>
      <x:c r="C21" s="34" t="str">
        <x:f>IFERROR(VLOOKUP(A21,'Meter Rates'!$A$5:$M$47,4,FALSE),"")</x:f>
      </x:c>
      <x:c r="D21" s="36" t="n">
        <x:f>IFERROR(VLOOKUP(A21,'Meter Rates'!$A$5:$M$47,5,FALSE),0)</x:f>
        <x:v>0</x:v>
      </x:c>
      <x:c r="E21" s="36" t="n">
        <x:f>IFERROR(VLOOKUP(A21,'Meter Rates'!$A$5:$M$47,6,FALSE),0)</x:f>
        <x:v>0</x:v>
      </x:c>
      <x:c r="F21" s="36" t="n">
        <x:f>IF(A21="",0,B21*D21)</x:f>
        <x:v>0</x:v>
      </x:c>
      <x:c r="G21" s="36" t="n">
        <x:f>IF(A21="",0,B21*E21)</x:f>
        <x:v>0</x:v>
      </x:c>
      <x:c r="H21" s="37" t="n">
        <x:f>IF(G21=0,0,(G21-F21)/G21)</x:f>
        <x:v>0</x:v>
      </x:c>
    </x:row>
    <x:row r="22">
      <x:c r="A22" s="52"/>
      <x:c r="B22" s="52"/>
      <x:c r="C22" s="34" t="str">
        <x:f>IFERROR(VLOOKUP(A22,'Meter Rates'!$A$5:$M$47,4,FALSE),"")</x:f>
      </x:c>
      <x:c r="D22" s="36" t="n">
        <x:f>IFERROR(VLOOKUP(A22,'Meter Rates'!$A$5:$M$47,5,FALSE),0)</x:f>
        <x:v>0</x:v>
      </x:c>
      <x:c r="E22" s="36" t="n">
        <x:f>IFERROR(VLOOKUP(A22,'Meter Rates'!$A$5:$M$47,6,FALSE),0)</x:f>
        <x:v>0</x:v>
      </x:c>
      <x:c r="F22" s="36" t="n">
        <x:f>IF(A22="",0,B22*D22)</x:f>
        <x:v>0</x:v>
      </x:c>
      <x:c r="G22" s="36" t="n">
        <x:f>IF(A22="",0,B22*E22)</x:f>
        <x:v>0</x:v>
      </x:c>
      <x:c r="H22" s="37" t="n">
        <x:f>IF(G22=0,0,(G22-F22)/G22)</x:f>
        <x:v>0</x:v>
      </x:c>
    </x:row>
    <x:row r="23">
      <x:c r="A23" s="31"/>
      <x:c r="B23" s="31"/>
      <x:c r="C23" s="31"/>
      <x:c r="D23" s="31"/>
      <x:c r="E23" s="31"/>
      <x:c r="F23" s="31"/>
      <x:c r="G23" s="31"/>
      <x:c r="H23" s="31"/>
    </x:row>
    <x:row r="24" ht="28" customHeight="1">
      <x:c r="A24" s="31"/>
      <x:c r="B24" s="31"/>
      <x:c r="C24" s="31"/>
      <x:c r="D24" s="31"/>
      <x:c r="E24" s="33" t="str">
        <x:v>Usage provider cost</x:v>
      </x:c>
      <x:c r="F24" s="53" t="n">
        <x:f>SUM(F11:F22)</x:f>
        <x:v>27.9</x:v>
      </x:c>
      <x:c r="G24" s="31"/>
      <x:c r="H24" s="31"/>
    </x:row>
    <x:row r="25">
      <x:c r="A25" s="31"/>
      <x:c r="B25" s="31"/>
      <x:c r="C25" s="31"/>
      <x:c r="D25" s="31"/>
      <x:c r="E25" s="34" t="str">
        <x:v>Usage customer charge</x:v>
      </x:c>
      <x:c r="F25" s="54" t="n">
        <x:f>SUM(G11:G22)</x:f>
        <x:v>61.7</x:v>
      </x:c>
      <x:c r="G25" s="31"/>
      <x:c r="H25" s="31"/>
    </x:row>
    <x:row r="26">
      <x:c r="A26" s="31"/>
      <x:c r="B26" s="31"/>
      <x:c r="C26" s="31"/>
      <x:c r="D26" s="31"/>
      <x:c r="E26" s="34" t="str">
        <x:v>Platform fee</x:v>
      </x:c>
      <x:c r="F26" s="54" t="n">
        <x:f>B5</x:f>
        <x:v>500</x:v>
      </x:c>
      <x:c r="G26" s="31"/>
      <x:c r="H26" s="31"/>
    </x:row>
    <x:row r="27">
      <x:c r="A27" s="31"/>
      <x:c r="B27" s="31"/>
      <x:c r="C27" s="31"/>
      <x:c r="D27" s="31"/>
      <x:c r="E27" s="34" t="str">
        <x:v>Customer monthly total</x:v>
      </x:c>
      <x:c r="F27" s="54" t="n">
        <x:f>F25+F26</x:f>
        <x:v>561.7</x:v>
      </x:c>
      <x:c r="G27" s="31"/>
      <x:c r="H27" s="31"/>
    </x:row>
    <x:row r="28">
      <x:c r="A28" s="31"/>
      <x:c r="B28" s="31"/>
      <x:c r="C28" s="31"/>
      <x:c r="D28" s="31"/>
      <x:c r="E28" s="34" t="str">
        <x:v>Stripe Billing fee</x:v>
      </x:c>
      <x:c r="F28" s="54" t="n">
        <x:f>F27*B7</x:f>
        <x:v>3.9319000000000006</x:v>
      </x:c>
      <x:c r="G28" s="31"/>
      <x:c r="H28" s="31"/>
    </x:row>
    <x:row r="29">
      <x:c r="A29" s="31"/>
      <x:c r="B29" s="31"/>
      <x:c r="C29" s="31"/>
      <x:c r="D29" s="31"/>
      <x:c r="E29" s="34" t="str">
        <x:v>Stripe Payments fee</x:v>
      </x:c>
      <x:c r="F29" s="54" t="n">
        <x:f>F27*B8+E4</x:f>
        <x:v>16.5893</x:v>
      </x:c>
      <x:c r="G29" s="31"/>
      <x:c r="H29" s="31"/>
    </x:row>
    <x:row r="30">
      <x:c r="A30" s="31"/>
      <x:c r="B30" s="31"/>
      <x:c r="C30" s="31"/>
      <x:c r="D30" s="31"/>
      <x:c r="E30" s="34" t="str">
        <x:v>Risk/support reserve</x:v>
      </x:c>
      <x:c r="F30" s="54" t="n">
        <x:f>F27*B6</x:f>
        <x:v>56.17000000000001</x:v>
      </x:c>
      <x:c r="G30" s="31"/>
      <x:c r="H30" s="31"/>
    </x:row>
    <x:row r="31">
      <x:c r="A31" s="31"/>
      <x:c r="B31" s="31"/>
      <x:c r="C31" s="31"/>
      <x:c r="D31" s="31"/>
      <x:c r="E31" s="34" t="str">
        <x:v>Estimated contribution</x:v>
      </x:c>
      <x:c r="F31" s="54" t="n">
        <x:f>F27-F24-F28-F29-F30</x:f>
        <x:v>457.10880000000003</x:v>
      </x:c>
      <x:c r="G31" s="31"/>
      <x:c r="H31" s="31"/>
    </x:row>
    <x:row r="32">
      <x:c r="A32" s="31"/>
      <x:c r="B32" s="31"/>
      <x:c r="C32" s="31"/>
      <x:c r="D32" s="31"/>
      <x:c r="E32" s="34" t="str">
        <x:v>Contribution margin</x:v>
      </x:c>
      <x:c r="F32" s="37" t="n">
        <x:f>IF(F27=0,0,F31/F27)</x:f>
        <x:v>0.8137952643760014</x:v>
      </x:c>
      <x:c r="G32" s="31"/>
      <x:c r="H32" s="31"/>
    </x:row>
  </x:sheetData>
  <x:mergeCells>
    <x:mergeCell ref="A1:H1"/>
    <x:mergeCell ref="A2:H2"/>
  </x:mergeCells>
  <x:conditionalFormatting sqref="E32:F32">
    <x:cfRule type="cellIs" dxfId="0" priority="1" operator="lessThan">
      <x:formula>0.6</x:formula>
    </x:cfRule>
  </x:conditionalFormatting>
  <x:dataValidations count="1">
    <x:dataValidation type="list" sqref="A11:A22">
      <x:formula1>'Meter Rates'!$A$5:$A$47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26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20" hidden="0" customWidth="1"/>
    <x:col min="10" max="10" width="20" hidden="0" customWidth="1"/>
    <x:col min="11" max="11" width="14" hidden="0" customWidth="1"/>
    <x:col min="12" max="12" width="44" hidden="0" customWidth="1"/>
    <x:col min="13" max="13" width="64" hidden="0" customWidth="1"/>
  </x:cols>
  <x:sheetData>
    <x:row r="1" ht="34" customHeight="1">
      <x:c r="A1" s="29" t="str">
        <x:v>Meter Rates</x:v>
      </x:c>
      <x:c r="B1" s="29" t="str">
        <x:v>Meter Rates</x:v>
      </x:c>
      <x:c r="C1" s="29" t="str">
        <x:v>Meter Rates</x:v>
      </x:c>
      <x:c r="D1" s="29" t="str">
        <x:v>Meter Rates</x:v>
      </x:c>
      <x:c r="E1" s="29" t="str">
        <x:v>Meter Rates</x:v>
      </x:c>
      <x:c r="F1" s="29" t="str">
        <x:v>Meter Rates</x:v>
      </x:c>
      <x:c r="G1" s="29" t="str">
        <x:v>Meter Rates</x:v>
      </x:c>
      <x:c r="H1" s="29" t="str">
        <x:v>Meter Rates</x:v>
      </x:c>
      <x:c r="I1" s="29" t="str">
        <x:v>Meter Rates</x:v>
      </x:c>
      <x:c r="J1" s="29" t="str">
        <x:v>Meter Rates</x:v>
      </x:c>
      <x:c r="K1" s="29" t="str">
        <x:v>Meter Rates</x:v>
      </x:c>
      <x:c r="L1" s="29" t="str">
        <x:v>Meter Rates</x:v>
      </x:c>
      <x:c r="M1" s="29" t="str">
        <x:v>Meter Rates</x:v>
      </x:c>
    </x:row>
    <x:row r="2" ht="30" customHeight="1">
      <x:c r="A2" s="30" t="str">
        <x:v>Provider marginal rate, recommended Multivrs customer rate, and the currently implemented catalog rate. Shared provider allowances are not per-customer entitlements.</x:v>
      </x:c>
      <x:c r="B2" s="30" t="str">
        <x:v>Provider marginal rate, recommended Multivrs customer rate, and the currently implemented catalog rate. Shared provider allowances are not per-customer entitlements.</x:v>
      </x:c>
      <x:c r="C2" s="30" t="str">
        <x:v>Provider marginal rate, recommended Multivrs customer rate, and the currently implemented catalog rate. Shared provider allowances are not per-customer entitlements.</x:v>
      </x:c>
      <x:c r="D2" s="30" t="str">
        <x:v>Provider marginal rate, recommended Multivrs customer rate, and the currently implemented catalog rate. Shared provider allowances are not per-customer entitlements.</x:v>
      </x:c>
      <x:c r="E2" s="30" t="str">
        <x:v>Provider marginal rate, recommended Multivrs customer rate, and the currently implemented catalog rate. Shared provider allowances are not per-customer entitlements.</x:v>
      </x:c>
      <x:c r="F2" s="30" t="str">
        <x:v>Provider marginal rate, recommended Multivrs customer rate, and the currently implemented catalog rate. Shared provider allowances are not per-customer entitlements.</x:v>
      </x:c>
      <x:c r="G2" s="30" t="str">
        <x:v>Provider marginal rate, recommended Multivrs customer rate, and the currently implemented catalog rate. Shared provider allowances are not per-customer entitlements.</x:v>
      </x:c>
      <x:c r="H2" s="30" t="str">
        <x:v>Provider marginal rate, recommended Multivrs customer rate, and the currently implemented catalog rate. Shared provider allowances are not per-customer entitlements.</x:v>
      </x:c>
      <x:c r="I2" s="30" t="str">
        <x:v>Provider marginal rate, recommended Multivrs customer rate, and the currently implemented catalog rate. Shared provider allowances are not per-customer entitlements.</x:v>
      </x:c>
      <x:c r="J2" s="30" t="str">
        <x:v>Provider marginal rate, recommended Multivrs customer rate, and the currently implemented catalog rate. Shared provider allowances are not per-customer entitlements.</x:v>
      </x:c>
      <x:c r="K2" s="30" t="str">
        <x:v>Provider marginal rate, recommended Multivrs customer rate, and the currently implemented catalog rate. Shared provider allowances are not per-customer entitlements.</x:v>
      </x:c>
      <x:c r="L2" s="30" t="str">
        <x:v>Provider marginal rate, recommended Multivrs customer rate, and the currently implemented catalog rate. Shared provider allowances are not per-customer entitlements.</x:v>
      </x:c>
      <x:c r="M2" s="30" t="str">
        <x:v>Provider marginal rate, recommended Multivrs customer rate, and the currently implemented catalog rate. Shared provider allowances are not per-customer entitlements.</x:v>
      </x:c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</x:row>
    <x:row r="4" ht="28" customHeight="1">
      <x:c r="A4" s="33" t="str">
        <x:v>Rate key</x:v>
      </x:c>
      <x:c r="B4" s="33" t="str">
        <x:v>Customer line item</x:v>
      </x:c>
      <x:c r="C4" s="33" t="str">
        <x:v>Provider</x:v>
      </x:c>
      <x:c r="D4" s="33" t="str">
        <x:v>Billing unit</x:v>
      </x:c>
      <x:c r="E4" s="33" t="str">
        <x:v>Provider $/unit</x:v>
      </x:c>
      <x:c r="F4" s="33" t="str">
        <x:v>Recommended sell $/unit</x:v>
      </x:c>
      <x:c r="G4" s="33" t="str">
        <x:v>Current catalog $/unit</x:v>
      </x:c>
      <x:c r="H4" s="33" t="str">
        <x:v>Provider included allowance</x:v>
      </x:c>
      <x:c r="I4" s="33" t="str">
        <x:v>Hobby allowance</x:v>
      </x:c>
      <x:c r="J4" s="33" t="str">
        <x:v>Pro allowance</x:v>
      </x:c>
      <x:c r="K4" s="33" t="str">
        <x:v>Gross margin</x:v>
      </x:c>
      <x:c r="L4" s="33" t="str">
        <x:v>Official source</x:v>
      </x:c>
      <x:c r="M4" s="33" t="str">
        <x:v>Notes / required review</x:v>
      </x:c>
    </x:row>
    <x:row r="5">
      <x:c r="A5" s="34" t="str">
        <x:v>edge_requests</x:v>
      </x:c>
      <x:c r="B5" s="34" t="str">
        <x:v>Edge Requests</x:v>
      </x:c>
      <x:c r="C5" s="34" t="str">
        <x:v>Cloudflare Workers</x:v>
      </x:c>
      <x:c r="D5" s="34" t="str">
        <x:v>1M requests</x:v>
      </x:c>
      <x:c r="E5" s="36" t="n">
        <x:v>0.3</x:v>
      </x:c>
      <x:c r="F5" s="36" t="n">
        <x:v>1</x:v>
      </x:c>
      <x:c r="G5" s="36" t="n">
        <x:v>1</x:v>
      </x:c>
      <x:c r="H5" s="34" t="str">
        <x:v>10M/account/mo</x:v>
      </x:c>
      <x:c r="I5" s="34" t="str">
        <x:v>100K</x:v>
      </x:c>
      <x:c r="J5" s="34" t="str">
        <x:v>1M</x:v>
      </x:c>
      <x:c r="K5" s="37" t="n">
        <x:f>IF(F5=0,0,(F5-E5)/F5)</x:f>
        <x:v>0.7</x:v>
      </x:c>
      <x:c r="L5" s="34" t="str">
        <x:v>https://developers.cloudflare.com/workers/platform/pricing/</x:v>
      </x:c>
      <x:c r="M5" s="34" t="str">
        <x:v>Static asset requests are free; dynamic Worker/cache requests are billable.</x:v>
      </x:c>
    </x:row>
    <x:row r="6">
      <x:c r="A6" s="34" t="str">
        <x:v>workers_cpu</x:v>
      </x:c>
      <x:c r="B6" s="34" t="str">
        <x:v>Function Active CPU</x:v>
      </x:c>
      <x:c r="C6" s="34" t="str">
        <x:v>Cloudflare Workers</x:v>
      </x:c>
      <x:c r="D6" s="34" t="str">
        <x:v>1M CPU ms</x:v>
      </x:c>
      <x:c r="E6" s="36" t="n">
        <x:v>0.02</x:v>
      </x:c>
      <x:c r="F6" s="36" t="n">
        <x:v>0.06</x:v>
      </x:c>
      <x:c r="G6" s="36" t="n">
        <x:v>0.06</x:v>
      </x:c>
      <x:c r="H6" s="34" t="str">
        <x:v>30M/account/mo</x:v>
      </x:c>
      <x:c r="I6" s="34" t="str">
        <x:v>0.9M</x:v>
      </x:c>
      <x:c r="J6" s="34" t="str">
        <x:v>14.4M</x:v>
      </x:c>
      <x:c r="K6" s="37" t="n">
        <x:f>IF(F6=0,0,(F6-E6)/F6)</x:f>
        <x:v>0.6666666666666666</x:v>
      </x:c>
      <x:c r="L6" s="34" t="str">
        <x:v>https://developers.cloudflare.com/workers/platform/pricing/</x:v>
      </x:c>
      <x:c r="M6" s="34" t="str">
        <x:v>Current catalog rate matches recommendation.</x:v>
      </x:c>
    </x:row>
    <x:row r="7">
      <x:c r="A7" s="34" t="str">
        <x:v>fast_data_transfer_worst</x:v>
      </x:c>
      <x:c r="B7" s="34" t="str">
        <x:v>Fast Data Transfer — conservative</x:v>
      </x:c>
      <x:c r="C7" s="34" t="str">
        <x:v>Cloudflare Containers</x:v>
      </x:c>
      <x:c r="D7" s="34" t="str">
        <x:v>GB egress</x:v>
      </x:c>
      <x:c r="E7" s="36" t="n">
        <x:v>0.05</x:v>
      </x:c>
      <x:c r="F7" s="36" t="n">
        <x:v>0.1</x:v>
      </x:c>
      <x:c r="G7" s="36" t="n">
        <x:v>0.1</x:v>
      </x:c>
      <x:c r="H7" s="34" t="str">
        <x:v>Region-dependent pool</x:v>
      </x:c>
      <x:c r="I7" s="34" t="str">
        <x:v>5 GB</x:v>
      </x:c>
      <x:c r="J7" s="34" t="str">
        <x:v>50 GB</x:v>
      </x:c>
      <x:c r="K7" s="37" t="n">
        <x:f>IF(F7=0,0,(F7-E7)/F7)</x:f>
        <x:v>0.5</x:v>
      </x:c>
      <x:c r="L7" s="34" t="str">
        <x:v>https://developers.cloudflare.com/containers/pricing/</x:v>
      </x:c>
      <x:c r="M7" s="34" t="str">
        <x:v>Uses the highest published container egress rate. R2 Internet egress itself is free.</x:v>
      </x:c>
    </x:row>
    <x:row r="8">
      <x:c r="A8" s="34" t="str">
        <x:v>r2_egress</x:v>
      </x:c>
      <x:c r="B8" s="34" t="str">
        <x:v>R2 / Blob Data Transfer</x:v>
      </x:c>
      <x:c r="C8" s="34" t="str">
        <x:v>Cloudflare R2</x:v>
      </x:c>
      <x:c r="D8" s="34" t="str">
        <x:v>GB egress</x:v>
      </x:c>
      <x:c r="E8" s="36" t="n">
        <x:v>0</x:v>
      </x:c>
      <x:c r="F8" s="36" t="n">
        <x:v>0.05</x:v>
      </x:c>
      <x:c r="G8" s="36" t="n">
        <x:v>0.05</x:v>
      </x:c>
      <x:c r="H8" s="34" t="str">
        <x:v>Unlimited free egress</x:v>
      </x:c>
      <x:c r="I8" s="34" t="str">
        <x:v>1 GiB</x:v>
      </x:c>
      <x:c r="J8" s="34" t="str">
        <x:v>10 GiB</x:v>
      </x:c>
      <x:c r="K8" s="37" t="n">
        <x:f>IF(F8=0,0,(F8-E8)/F8)</x:f>
        <x:v>1</x:v>
      </x:c>
      <x:c r="L8" s="34" t="str">
        <x:v>https://developers.cloudflare.com/r2/pricing/</x:v>
      </x:c>
      <x:c r="M8" s="34" t="str">
        <x:v>Requests and CPU remain separate cost drivers.</x:v>
      </x:c>
    </x:row>
    <x:row r="9">
      <x:c r="A9" s="34" t="str">
        <x:v>r2_storage</x:v>
      </x:c>
      <x:c r="B9" s="34" t="str">
        <x:v>Blob / Snapshot Storage</x:v>
      </x:c>
      <x:c r="C9" s="34" t="str">
        <x:v>Cloudflare R2</x:v>
      </x:c>
      <x:c r="D9" s="34" t="str">
        <x:v>GB-month</x:v>
      </x:c>
      <x:c r="E9" s="36" t="n">
        <x:v>0.015</x:v>
      </x:c>
      <x:c r="F9" s="36" t="n">
        <x:v>0.04</x:v>
      </x:c>
      <x:c r="G9" s="36" t="n">
        <x:v>0.04</x:v>
      </x:c>
      <x:c r="H9" s="34" t="str">
        <x:v>10 GB/account/mo</x:v>
      </x:c>
      <x:c r="I9" s="34" t="str">
        <x:v>1 GiB</x:v>
      </x:c>
      <x:c r="J9" s="34" t="str">
        <x:v>5 GiB</x:v>
      </x:c>
      <x:c r="K9" s="37" t="n">
        <x:f>IF(F9=0,0,(F9-E9)/F9)</x:f>
        <x:v>0.625</x:v>
      </x:c>
      <x:c r="L9" s="34" t="str">
        <x:v>https://developers.cloudflare.com/r2/pricing/</x:v>
      </x:c>
      <x:c r="M9" s="34" t="str">
        <x:v>Standard storage class.</x:v>
      </x:c>
    </x:row>
    <x:row r="10">
      <x:c r="A10" s="34" t="str">
        <x:v>r2_class_a</x:v>
      </x:c>
      <x:c r="B10" s="34" t="str">
        <x:v>Blob Advanced / Cache Writes</x:v>
      </x:c>
      <x:c r="C10" s="34" t="str">
        <x:v>Cloudflare R2</x:v>
      </x:c>
      <x:c r="D10" s="34" t="str">
        <x:v>1M operations</x:v>
      </x:c>
      <x:c r="E10" s="36" t="n">
        <x:v>4.5</x:v>
      </x:c>
      <x:c r="F10" s="36" t="n">
        <x:v>10</x:v>
      </x:c>
      <x:c r="G10" s="36" t="n">
        <x:v>10</x:v>
      </x:c>
      <x:c r="H10" s="34" t="str">
        <x:v>1M/account/mo</x:v>
      </x:c>
      <x:c r="I10" s="34" t="str">
        <x:v>500</x:v>
      </x:c>
      <x:c r="J10" s="34" t="str">
        <x:v>100K</x:v>
      </x:c>
      <x:c r="K10" s="37" t="n">
        <x:f>IF(F10=0,0,(F10-E10)/F10)</x:f>
        <x:v>0.55</x:v>
      </x:c>
      <x:c r="L10" s="34" t="str">
        <x:v>https://developers.cloudflare.com/r2/pricing/</x:v>
      </x:c>
      <x:c r="M10" s="34" t="str">
        <x:v>Writes, lists and multipart mutations.</x:v>
      </x:c>
    </x:row>
    <x:row r="11">
      <x:c r="A11" s="34" t="str">
        <x:v>r2_class_b</x:v>
      </x:c>
      <x:c r="B11" s="34" t="str">
        <x:v>Blob Simple / Cache Reads</x:v>
      </x:c>
      <x:c r="C11" s="34" t="str">
        <x:v>Cloudflare R2</x:v>
      </x:c>
      <x:c r="D11" s="34" t="str">
        <x:v>1M operations</x:v>
      </x:c>
      <x:c r="E11" s="36" t="n">
        <x:v>0.36</x:v>
      </x:c>
      <x:c r="F11" s="36" t="n">
        <x:v>1</x:v>
      </x:c>
      <x:c r="G11" s="36" t="n">
        <x:v>1</x:v>
      </x:c>
      <x:c r="H11" s="34" t="str">
        <x:v>10M/account/mo</x:v>
      </x:c>
      <x:c r="I11" s="34" t="str">
        <x:v>10K</x:v>
      </x:c>
      <x:c r="J11" s="34" t="str">
        <x:v>1M</x:v>
      </x:c>
      <x:c r="K11" s="37" t="n">
        <x:f>IF(F11=0,0,(F11-E11)/F11)</x:f>
        <x:v>0.64</x:v>
      </x:c>
      <x:c r="L11" s="34" t="str">
        <x:v>https://developers.cloudflare.com/r2/pricing/</x:v>
      </x:c>
      <x:c r="M11" s="34" t="str">
        <x:v>Reads and metadata operations.</x:v>
      </x:c>
    </x:row>
    <x:row r="12">
      <x:c r="A12" s="34" t="str">
        <x:v>r2_ia_retrieval</x:v>
      </x:c>
      <x:c r="B12" s="34" t="str">
        <x:v>Infrequent Access Retrieval</x:v>
      </x:c>
      <x:c r="C12" s="34" t="str">
        <x:v>Cloudflare R2</x:v>
      </x:c>
      <x:c r="D12" s="34" t="str">
        <x:v>GB retrieved</x:v>
      </x:c>
      <x:c r="E12" s="36" t="n">
        <x:v>0.01</x:v>
      </x:c>
      <x:c r="F12" s="36" t="n">
        <x:v>0.03</x:v>
      </x:c>
      <x:c r="G12" s="36"/>
      <x:c r="H12" s="34" t="str">
        <x:v>None</x:v>
      </x:c>
      <x:c r="I12" s="34" t="str">
        <x:v>—</x:v>
      </x:c>
      <x:c r="J12" s="34" t="str">
        <x:v>—</x:v>
      </x:c>
      <x:c r="K12" s="37" t="n">
        <x:f>IF(F12=0,0,(F12-E12)/F12)</x:f>
        <x:v>0.6666666666666666</x:v>
      </x:c>
      <x:c r="L12" s="34" t="str">
        <x:v>https://developers.cloudflare.com/r2/pricing/</x:v>
      </x:c>
      <x:c r="M12" s="34" t="str">
        <x:v>Only for R2 Infrequent Access; not used by the current Standard-storage catalog.</x:v>
      </x:c>
    </x:row>
    <x:row r="13">
      <x:c r="A13" s="34" t="str">
        <x:v>kv_reads</x:v>
      </x:c>
      <x:c r="B13" s="34" t="str">
        <x:v>Edge Config Reads</x:v>
      </x:c>
      <x:c r="C13" s="34" t="str">
        <x:v>Cloudflare KV</x:v>
      </x:c>
      <x:c r="D13" s="34" t="str">
        <x:v>1M reads</x:v>
      </x:c>
      <x:c r="E13" s="36" t="n">
        <x:v>0.5</x:v>
      </x:c>
      <x:c r="F13" s="36" t="n">
        <x:v>1.5</x:v>
      </x:c>
      <x:c r="G13" s="36" t="n">
        <x:v>1.5</x:v>
      </x:c>
      <x:c r="H13" s="34" t="str">
        <x:v>10M/account/mo</x:v>
      </x:c>
      <x:c r="I13" s="34" t="str">
        <x:v>100K</x:v>
      </x:c>
      <x:c r="J13" s="34" t="str">
        <x:v>1M</x:v>
      </x:c>
      <x:c r="K13" s="37" t="n">
        <x:f>IF(F13=0,0,(F13-E13)/F13)</x:f>
        <x:v>0.6666666666666666</x:v>
      </x:c>
      <x:c r="L13" s="34" t="str">
        <x:v>https://developers.cloudflare.com/kv/platform/pricing/</x:v>
      </x:c>
      <x:c r="M13" s="34" t="str">
        <x:v>Recommended customer rate matches pricing-economics.ts.</x:v>
      </x:c>
    </x:row>
    <x:row r="14">
      <x:c r="A14" s="34" t="str">
        <x:v>kv_writes</x:v>
      </x:c>
      <x:c r="B14" s="34" t="str">
        <x:v>Edge Config Writes</x:v>
      </x:c>
      <x:c r="C14" s="34" t="str">
        <x:v>Cloudflare KV</x:v>
      </x:c>
      <x:c r="D14" s="34" t="str">
        <x:v>1M writes</x:v>
      </x:c>
      <x:c r="E14" s="36" t="n">
        <x:v>5</x:v>
      </x:c>
      <x:c r="F14" s="36" t="n">
        <x:v>12</x:v>
      </x:c>
      <x:c r="G14" s="36" t="n">
        <x:v>12000</x:v>
      </x:c>
      <x:c r="H14" s="34" t="str">
        <x:v>1M/account/mo</x:v>
      </x:c>
      <x:c r="I14" s="34" t="str">
        <x:v>100</x:v>
      </x:c>
      <x:c r="J14" s="34" t="str">
        <x:v>10K</x:v>
      </x:c>
      <x:c r="K14" s="37" t="n">
        <x:f>IF(F14=0,0,(F14-E14)/F14)</x:f>
        <x:v>0.5833333333333334</x:v>
      </x:c>
      <x:c r="L14" s="34" t="str">
        <x:v>https://developers.cloudflare.com/kv/platform/pricing/</x:v>
      </x:c>
      <x:c r="M14" s="34" t="str">
        <x:v>CATALOG REVIEW: current code charges $12 per 1K, while the economics file says $12 per 1M.</x:v>
      </x:c>
    </x:row>
    <x:row r="15">
      <x:c r="A15" s="34" t="str">
        <x:v>queues_ops</x:v>
      </x:c>
      <x:c r="B15" s="34" t="str">
        <x:v>Queue / Sandbox Operations</x:v>
      </x:c>
      <x:c r="C15" s="34" t="str">
        <x:v>Cloudflare Queues</x:v>
      </x:c>
      <x:c r="D15" s="34" t="str">
        <x:v>1M operations</x:v>
      </x:c>
      <x:c r="E15" s="36" t="n">
        <x:v>0.4</x:v>
      </x:c>
      <x:c r="F15" s="36" t="n">
        <x:v>1</x:v>
      </x:c>
      <x:c r="G15" s="36" t="n">
        <x:v>100</x:v>
      </x:c>
      <x:c r="H15" s="34" t="str">
        <x:v>1M/account/mo</x:v>
      </x:c>
      <x:c r="I15" s="34" t="str">
        <x:v>100</x:v>
      </x:c>
      <x:c r="J15" s="34" t="str">
        <x:v>1K</x:v>
      </x:c>
      <x:c r="K15" s="37" t="n">
        <x:f>IF(F15=0,0,(F15-E15)/F15)</x:f>
        <x:v>0.6</x:v>
      </x:c>
      <x:c r="L15" s="34" t="str">
        <x:v>https://developers.cloudflare.com/queues/platform/pricing/</x:v>
      </x:c>
      <x:c r="M15" s="34" t="str">
        <x:v>Typical delivered message uses ~3 operations. Current sandbox catalog rate is $0.10/1K.</x:v>
      </x:c>
    </x:row>
    <x:row r="16">
      <x:c r="A16" s="34" t="str">
        <x:v>analytics_writes</x:v>
      </x:c>
      <x:c r="B16" s="34" t="str">
        <x:v>Web Analytics / Speed Insights Events</x:v>
      </x:c>
      <x:c r="C16" s="34" t="str">
        <x:v>Cloudflare Analytics Engine</x:v>
      </x:c>
      <x:c r="D16" s="34" t="str">
        <x:v>1M events</x:v>
      </x:c>
      <x:c r="E16" s="36" t="n">
        <x:v>0.25</x:v>
      </x:c>
      <x:c r="F16" s="36" t="n">
        <x:v>0.75</x:v>
      </x:c>
      <x:c r="G16" s="36" t="n">
        <x:v>0.75</x:v>
      </x:c>
      <x:c r="H16" s="34" t="str">
        <x:v>10M/account/mo</x:v>
      </x:c>
      <x:c r="I16" s="34" t="str">
        <x:v>100K / 10K</x:v>
      </x:c>
      <x:c r="J16" s="34" t="str">
        <x:v>1M / 100K</x:v>
      </x:c>
      <x:c r="K16" s="37" t="n">
        <x:f>IF(F16=0,0,(F16-E16)/F16)</x:f>
        <x:v>0.6666666666666666</x:v>
      </x:c>
      <x:c r="L16" s="34" t="str">
        <x:v>https://developers.cloudflare.com/analytics/analytics-engine/pricing/</x:v>
      </x:c>
      <x:c r="M16" s="34" t="str">
        <x:v>Cloudflare says billing is not yet active; this models announced future pricing.</x:v>
      </x:c>
    </x:row>
    <x:row r="17">
      <x:c r="A17" s="34" t="str">
        <x:v>analytics_queries</x:v>
      </x:c>
      <x:c r="B17" s="34" t="str">
        <x:v>Analytics Queries</x:v>
      </x:c>
      <x:c r="C17" s="34" t="str">
        <x:v>Cloudflare Analytics Engine</x:v>
      </x:c>
      <x:c r="D17" s="34" t="str">
        <x:v>1M queries</x:v>
      </x:c>
      <x:c r="E17" s="36" t="n">
        <x:v>1</x:v>
      </x:c>
      <x:c r="F17" s="36" t="n">
        <x:v>3</x:v>
      </x:c>
      <x:c r="G17" s="36"/>
      <x:c r="H17" s="34" t="str">
        <x:v>1M/account/mo</x:v>
      </x:c>
      <x:c r="I17" s="34" t="str">
        <x:v>—</x:v>
      </x:c>
      <x:c r="J17" s="34" t="str">
        <x:v>—</x:v>
      </x:c>
      <x:c r="K17" s="37" t="n">
        <x:f>IF(F17=0,0,(F17-E17)/F17)</x:f>
        <x:v>0.6666666666666666</x:v>
      </x:c>
      <x:c r="L17" s="34" t="str">
        <x:v>https://developers.cloudflare.com/analytics/analytics-engine/pricing/</x:v>
      </x:c>
      <x:c r="M17" s="34" t="str">
        <x:v>Charge only for advanced/custom query access, not basic dashboard reads.</x:v>
      </x:c>
    </x:row>
    <x:row r="18">
      <x:c r="A18" s="34" t="str">
        <x:v>image_transforms</x:v>
      </x:c>
      <x:c r="B18" s="34" t="str">
        <x:v>Image Transformations</x:v>
      </x:c>
      <x:c r="C18" s="34" t="str">
        <x:v>Cloudflare Images</x:v>
      </x:c>
      <x:c r="D18" s="34" t="str">
        <x:v>1K unique transforms</x:v>
      </x:c>
      <x:c r="E18" s="36" t="n">
        <x:v>0.5</x:v>
      </x:c>
      <x:c r="F18" s="36" t="n">
        <x:v>1</x:v>
      </x:c>
      <x:c r="G18" s="36" t="n">
        <x:v>1</x:v>
      </x:c>
      <x:c r="H18" s="34" t="str">
        <x:v>5K/account/mo</x:v>
      </x:c>
      <x:c r="I18" s="34" t="str">
        <x:v>1K</x:v>
      </x:c>
      <x:c r="J18" s="34" t="str">
        <x:v>5K</x:v>
      </x:c>
      <x:c r="K18" s="37" t="n">
        <x:f>IF(F18=0,0,(F18-E18)/F18)</x:f>
        <x:v>0.5</x:v>
      </x:c>
      <x:c r="L18" s="34" t="str">
        <x:v>https://developers.cloudflare.com/images/pricing/</x:v>
      </x:c>
      <x:c r="M18" s="34" t="str">
        <x:v>Unique source+variant transformations per month.</x:v>
      </x:c>
    </x:row>
    <x:row r="19">
      <x:c r="A19" s="34" t="str">
        <x:v>image_stored</x:v>
      </x:c>
      <x:c r="B19" s="34" t="str">
        <x:v>Images Stored</x:v>
      </x:c>
      <x:c r="C19" s="34" t="str">
        <x:v>Cloudflare Images</x:v>
      </x:c>
      <x:c r="D19" s="34" t="str">
        <x:v>100K images-month</x:v>
      </x:c>
      <x:c r="E19" s="36" t="n">
        <x:v>5</x:v>
      </x:c>
      <x:c r="F19" s="36" t="n">
        <x:v>12</x:v>
      </x:c>
      <x:c r="G19" s="36"/>
      <x:c r="H19" s="34" t="str">
        <x:v>None</x:v>
      </x:c>
      <x:c r="I19" s="34" t="str">
        <x:v>—</x:v>
      </x:c>
      <x:c r="J19" s="34" t="str">
        <x:v>—</x:v>
      </x:c>
      <x:c r="K19" s="37" t="n">
        <x:f>IF(F19=0,0,(F19-E19)/F19)</x:f>
        <x:v>0.5833333333333334</x:v>
      </x:c>
      <x:c r="L19" s="34" t="str">
        <x:v>https://developers.cloudflare.com/images/pricing/</x:v>
      </x:c>
      <x:c r="M19" s="34" t="str">
        <x:v>Only when using Cloudflare Images storage instead of R2.</x:v>
      </x:c>
    </x:row>
    <x:row r="20">
      <x:c r="A20" s="34" t="str">
        <x:v>image_delivered</x:v>
      </x:c>
      <x:c r="B20" s="34" t="str">
        <x:v>Images Delivered</x:v>
      </x:c>
      <x:c r="C20" s="34" t="str">
        <x:v>Cloudflare Images</x:v>
      </x:c>
      <x:c r="D20" s="34" t="str">
        <x:v>100K deliveries</x:v>
      </x:c>
      <x:c r="E20" s="36" t="n">
        <x:v>1</x:v>
      </x:c>
      <x:c r="F20" s="36" t="n">
        <x:v>2.5</x:v>
      </x:c>
      <x:c r="G20" s="36"/>
      <x:c r="H20" s="34" t="str">
        <x:v>None</x:v>
      </x:c>
      <x:c r="I20" s="34" t="str">
        <x:v>—</x:v>
      </x:c>
      <x:c r="J20" s="34" t="str">
        <x:v>—</x:v>
      </x:c>
      <x:c r="K20" s="37" t="n">
        <x:f>IF(F20=0,0,(F20-E20)/F20)</x:f>
        <x:v>0.6</x:v>
      </x:c>
      <x:c r="L20" s="34" t="str">
        <x:v>https://developers.cloudflare.com/images/pricing/</x:v>
      </x:c>
      <x:c r="M20" s="34" t="str">
        <x:v>Only for Cloudflare-hosted Images delivery.</x:v>
      </x:c>
    </x:row>
    <x:row r="21">
      <x:c r="A21" s="34" t="str">
        <x:v>container_cpu</x:v>
      </x:c>
      <x:c r="B21" s="34" t="str">
        <x:v>Sandbox / Build CPU</x:v>
      </x:c>
      <x:c r="C21" s="34" t="str">
        <x:v>Cloudflare Containers</x:v>
      </x:c>
      <x:c r="D21" s="34" t="str">
        <x:v>vCPU-hour</x:v>
      </x:c>
      <x:c r="E21" s="36" t="n">
        <x:v>0.072</x:v>
      </x:c>
      <x:c r="F21" s="36" t="n">
        <x:v>0.18</x:v>
      </x:c>
      <x:c r="G21" s="36" t="n">
        <x:v>0.18</x:v>
      </x:c>
      <x:c r="H21" s="34" t="str">
        <x:v>375 vCPU-min/account/mo</x:v>
      </x:c>
      <x:c r="I21" s="34" t="str">
        <x:v>0.17 h</x:v>
      </x:c>
      <x:c r="J21" s="34" t="str">
        <x:v>2 h</x:v>
      </x:c>
      <x:c r="K21" s="37" t="n">
        <x:f>IF(F21=0,0,(F21-E21)/F21)</x:f>
        <x:v>0.6</x:v>
      </x:c>
      <x:c r="L21" s="34" t="str">
        <x:v>https://developers.cloudflare.com/containers/pricing/</x:v>
      </x:c>
      <x:c r="M21" s="34" t="str">
        <x:v>Bill active container CPU; include startup and minimum allocation in reserve.</x:v>
      </x:c>
    </x:row>
    <x:row r="22">
      <x:c r="A22" s="34" t="str">
        <x:v>function_memory</x:v>
      </x:c>
      <x:c r="B22" s="34" t="str">
        <x:v>Function Provisioned Memory</x:v>
      </x:c>
      <x:c r="C22" s="34" t="str">
        <x:v>Cloudflare Containers</x:v>
      </x:c>
      <x:c r="D22" s="34" t="str">
        <x:v>GiB-hour</x:v>
      </x:c>
      <x:c r="E22" s="36" t="n">
        <x:v>0.009</x:v>
      </x:c>
      <x:c r="F22" s="36" t="n">
        <x:v>0.025</x:v>
      </x:c>
      <x:c r="G22" s="36" t="n">
        <x:v>10.24</x:v>
      </x:c>
      <x:c r="H22" s="34" t="str">
        <x:v>25 GiB-h/account/mo</x:v>
      </x:c>
      <x:c r="I22" s="34" t="str">
        <x:v>1 GiB-h</x:v>
      </x:c>
      <x:c r="J22" s="34" t="str">
        <x:v>8 GiB-h</x:v>
      </x:c>
      <x:c r="K22" s="37" t="n">
        <x:f>IF(F22=0,0,(F22-E22)/F22)</x:f>
        <x:v>0.64</x:v>
      </x:c>
      <x:c r="L22" s="34" t="str">
        <x:v>https://developers.cloudflare.com/containers/pricing/</x:v>
      </x:c>
      <x:c r="M22" s="34" t="str">
        <x:v>CATALOG REVIEW: current function_memory MB-ms conversion is about $10.24/GiB-hour, not $0.025.</x:v>
      </x:c>
    </x:row>
    <x:row r="23">
      <x:c r="A23" s="34" t="str">
        <x:v>container_memory</x:v>
      </x:c>
      <x:c r="B23" s="34" t="str">
        <x:v>Sandbox / Build Memory</x:v>
      </x:c>
      <x:c r="C23" s="34" t="str">
        <x:v>Cloudflare Containers</x:v>
      </x:c>
      <x:c r="D23" s="34" t="str">
        <x:v>GiB-hour</x:v>
      </x:c>
      <x:c r="E23" s="36" t="n">
        <x:v>0.009</x:v>
      </x:c>
      <x:c r="F23" s="36" t="n">
        <x:v>0.025</x:v>
      </x:c>
      <x:c r="G23" s="36" t="n">
        <x:v>30.72</x:v>
      </x:c>
      <x:c r="H23" s="34" t="str">
        <x:v>25 GiB-h/account/mo</x:v>
      </x:c>
      <x:c r="I23" s="34" t="str">
        <x:v>1 GiB-h</x:v>
      </x:c>
      <x:c r="J23" s="34" t="str">
        <x:v>4 GiB-h</x:v>
      </x:c>
      <x:c r="K23" s="37" t="n">
        <x:f>IF(F23=0,0,(F23-E23)/F23)</x:f>
        <x:v>0.64</x:v>
      </x:c>
      <x:c r="L23" s="34" t="str">
        <x:v>https://developers.cloudflare.com/containers/pricing/</x:v>
      </x:c>
      <x:c r="M23" s="34" t="str">
        <x:v>CATALOG REVIEW: current sandbox_memory MB-ms conversion is about $30.72/GiB-hour, not $0.025.</x:v>
      </x:c>
    </x:row>
    <x:row r="24">
      <x:c r="A24" s="34" t="str">
        <x:v>container_disk</x:v>
      </x:c>
      <x:c r="B24" s="34" t="str">
        <x:v>Sandbox Ephemeral Disk</x:v>
      </x:c>
      <x:c r="C24" s="34" t="str">
        <x:v>Cloudflare Containers</x:v>
      </x:c>
      <x:c r="D24" s="34" t="str">
        <x:v>GB-hour</x:v>
      </x:c>
      <x:c r="E24" s="36" t="n">
        <x:v>0.000252</x:v>
      </x:c>
      <x:c r="F24" s="36" t="n">
        <x:v>0.001</x:v>
      </x:c>
      <x:c r="G24" s="36"/>
      <x:c r="H24" s="34" t="str">
        <x:v>200 GB-h/account/mo</x:v>
      </x:c>
      <x:c r="I24" s="34" t="str">
        <x:v>—</x:v>
      </x:c>
      <x:c r="J24" s="34" t="str">
        <x:v>—</x:v>
      </x:c>
      <x:c r="K24" s="37" t="n">
        <x:f>IF(F24=0,0,(F24-E24)/F24)</x:f>
        <x:v>0.748</x:v>
      </x:c>
      <x:c r="L24" s="34" t="str">
        <x:v>https://developers.cloudflare.com/containers/pricing/</x:v>
      </x:c>
      <x:c r="M24" s="34" t="str">
        <x:v>Published rate is $0.00000007 per GB-second.</x:v>
      </x:c>
    </x:row>
    <x:row r="25">
      <x:c r="A25" s="34" t="str">
        <x:v>container_egress</x:v>
      </x:c>
      <x:c r="B25" s="34" t="str">
        <x:v>Sandbox Network</x:v>
      </x:c>
      <x:c r="C25" s="34" t="str">
        <x:v>Cloudflare Containers</x:v>
      </x:c>
      <x:c r="D25" s="34" t="str">
        <x:v>GB egress</x:v>
      </x:c>
      <x:c r="E25" s="36" t="n">
        <x:v>0.05</x:v>
      </x:c>
      <x:c r="F25" s="36" t="n">
        <x:v>0.1</x:v>
      </x:c>
      <x:c r="G25" s="36" t="n">
        <x:v>0.1</x:v>
      </x:c>
      <x:c r="H25" s="34" t="str">
        <x:v>500 GB–1 TB regional pool</x:v>
      </x:c>
      <x:c r="I25" s="34" t="str">
        <x:v>1 GiB</x:v>
      </x:c>
      <x:c r="J25" s="34" t="str">
        <x:v>10 GiB</x:v>
      </x:c>
      <x:c r="K25" s="37" t="n">
        <x:f>IF(F25=0,0,(F25-E25)/F25)</x:f>
        <x:v>0.5</x:v>
      </x:c>
      <x:c r="L25" s="34" t="str">
        <x:v>https://developers.cloudflare.com/containers/pricing/</x:v>
      </x:c>
      <x:c r="M25" s="34" t="str">
        <x:v>Conservative highest published region.</x:v>
      </x:c>
    </x:row>
    <x:row r="26">
      <x:c r="A26" s="34" t="str">
        <x:v>sandbox_creation</x:v>
      </x:c>
      <x:c r="B26" s="34" t="str">
        <x:v>Sandbox Creation</x:v>
      </x:c>
      <x:c r="C26" s="34" t="str">
        <x:v>Cloudflare Containers</x:v>
      </x:c>
      <x:c r="D26" s="34" t="str">
        <x:v>100 creations</x:v>
      </x:c>
      <x:c r="E26" s="36" t="n">
        <x:v>0</x:v>
      </x:c>
      <x:c r="F26" s="36" t="n">
        <x:v>1</x:v>
      </x:c>
      <x:c r="G26" s="36" t="n">
        <x:v>0.1</x:v>
      </x:c>
      <x:c r="H26" s="34" t="str">
        <x:v>No direct creation meter</x:v>
      </x:c>
      <x:c r="I26" s="34" t="str">
        <x:v>5</x:v>
      </x:c>
      <x:c r="J26" s="34" t="str">
        <x:v>25</x:v>
      </x:c>
      <x:c r="K26" s="37" t="n">
        <x:f>IF(F26=0,0,(F26-E26)/F26)</x:f>
        <x:v>1</x:v>
      </x:c>
      <x:c r="L26" s="34" t="str">
        <x:v>https://developers.cloudflare.com/containers/pricing/</x:v>
      </x:c>
      <x:c r="M26" s="34" t="str">
        <x:v>CATALOG REVIEW: pricing table says $1/100; current code charges $1/1,000. CPU/memory during startup are separately metered.</x:v>
      </x:c>
    </x:row>
    <x:row r="27">
      <x:c r="A27" s="34" t="str">
        <x:v>dynamic_worker</x:v>
      </x:c>
      <x:c r="B27" s="34" t="str">
        <x:v>Dynamic Worker Deployment</x:v>
      </x:c>
      <x:c r="C27" s="34" t="str">
        <x:v>Cloudflare Workers for Platforms</x:v>
      </x:c>
      <x:c r="D27" s="34" t="str">
        <x:v>worker-day</x:v>
      </x:c>
      <x:c r="E27" s="36" t="n">
        <x:v>0.002</x:v>
      </x:c>
      <x:c r="F27" s="36" t="n">
        <x:v>0.005</x:v>
      </x:c>
      <x:c r="G27" s="36"/>
      <x:c r="H27" s="34" t="str">
        <x:v>1K workers/account/mo</x:v>
      </x:c>
      <x:c r="I27" s="34" t="str">
        <x:v>—</x:v>
      </x:c>
      <x:c r="J27" s="34" t="str">
        <x:v>—</x:v>
      </x:c>
      <x:c r="K27" s="37" t="n">
        <x:f>IF(F27=0,0,(F27-E27)/F27)</x:f>
        <x:v>0.6</x:v>
      </x:c>
      <x:c r="L27" s="34" t="str">
        <x:v>https://developers.cloudflare.com/dynamic-workers/pricing/</x:v>
      </x:c>
      <x:c r="M27" s="34" t="str">
        <x:v>Relevant to isolated tenant runtimes/microfrontends.</x:v>
      </x:c>
    </x:row>
    <x:row r="28">
      <x:c r="A28" s="34" t="str">
        <x:v>saas_hostname</x:v>
      </x:c>
      <x:c r="B28" s="34" t="str">
        <x:v>Custom Hostname / Managed Certificate</x:v>
      </x:c>
      <x:c r="C28" s="34" t="str">
        <x:v>Cloudflare for SaaS</x:v>
      </x:c>
      <x:c r="D28" s="34" t="str">
        <x:v>hostname-month</x:v>
      </x:c>
      <x:c r="E28" s="36" t="n">
        <x:v>0.1</x:v>
      </x:c>
      <x:c r="F28" s="36" t="n">
        <x:v>0.25</x:v>
      </x:c>
      <x:c r="G28" s="36" t="n">
        <x:v>0.25</x:v>
      </x:c>
      <x:c r="H28" s="34" t="str">
        <x:v>100/account</x:v>
      </x:c>
      <x:c r="I28" s="34" t="str">
        <x:v>1</x:v>
      </x:c>
      <x:c r="J28" s="34" t="str">
        <x:v>5</x:v>
      </x:c>
      <x:c r="K28" s="37" t="n">
        <x:f>IF(F28=0,0,(F28-E28)/F28)</x:f>
        <x:v>0.6</x:v>
      </x:c>
      <x:c r="L28" s="34" t="str">
        <x:v>https://developers.cloudflare.com/cloudflare-for-platforms/cloudflare-for-saas/plans/</x:v>
      </x:c>
      <x:c r="M28" s="34" t="str">
        <x:v>Certificate issuance is bundled with the hostname; enterprise TLS features are contract priced.</x:v>
      </x:c>
    </x:row>
    <x:row r="29">
      <x:c r="A29" s="34" t="str">
        <x:v>workflow_steps</x:v>
      </x:c>
      <x:c r="B29" s="34" t="str">
        <x:v>Workflow Events / Steps</x:v>
      </x:c>
      <x:c r="C29" s="34" t="str">
        <x:v>Cloudflare Workflows</x:v>
      </x:c>
      <x:c r="D29" s="34" t="str">
        <x:v>100K steps</x:v>
      </x:c>
      <x:c r="E29" s="36" t="n">
        <x:v>0.8</x:v>
      </x:c>
      <x:c r="F29" s="36" t="n">
        <x:v>2</x:v>
      </x:c>
      <x:c r="G29" s="36" t="n">
        <x:v>2</x:v>
      </x:c>
      <x:c r="H29" s="34" t="str">
        <x:v>500K/account/mo</x:v>
      </x:c>
      <x:c r="I29" s="34" t="str">
        <x:v>10K</x:v>
      </x:c>
      <x:c r="J29" s="34" t="str">
        <x:v>100K</x:v>
      </x:c>
      <x:c r="K29" s="37" t="n">
        <x:f>IF(F29=0,0,(F29-E29)/F29)</x:f>
        <x:v>0.6</x:v>
      </x:c>
      <x:c r="L29" s="34" t="str">
        <x:v>https://developers.cloudflare.com/workers/platform/pricing/</x:v>
      </x:c>
      <x:c r="M29" s="34" t="str">
        <x:v>Workflow step billing is the main variable driver.</x:v>
      </x:c>
    </x:row>
    <x:row r="30">
      <x:c r="A30" s="34" t="str">
        <x:v>workflow_storage</x:v>
      </x:c>
      <x:c r="B30" s="34" t="str">
        <x:v>Workflow Data Retained</x:v>
      </x:c>
      <x:c r="C30" s="34" t="str">
        <x:v>Cloudflare Workflows</x:v>
      </x:c>
      <x:c r="D30" s="34" t="str">
        <x:v>GB-month</x:v>
      </x:c>
      <x:c r="E30" s="36" t="n">
        <x:v>0.2</x:v>
      </x:c>
      <x:c r="F30" s="36" t="n">
        <x:v>0.5</x:v>
      </x:c>
      <x:c r="G30" s="36" t="n">
        <x:v>0.5</x:v>
      </x:c>
      <x:c r="H30" s="34" t="str">
        <x:v>1 GB/account/mo</x:v>
      </x:c>
      <x:c r="I30" s="34" t="str">
        <x:v>10 MiB</x:v>
      </x:c>
      <x:c r="J30" s="34" t="str">
        <x:v>1 GiB</x:v>
      </x:c>
      <x:c r="K30" s="37" t="n">
        <x:f>IF(F30=0,0,(F30-E30)/F30)</x:f>
        <x:v>0.6</x:v>
      </x:c>
      <x:c r="L30" s="34" t="str">
        <x:v>https://developers.cloudflare.com/workers/platform/pricing/</x:v>
      </x:c>
      <x:c r="M30" s="34" t="str">
        <x:v>Current customer catalog rate matches recommendation.</x:v>
      </x:c>
    </x:row>
    <x:row r="31">
      <x:c r="A31" s="34" t="str">
        <x:v>workflow_data_written</x:v>
      </x:c>
      <x:c r="B31" s="34" t="str">
        <x:v>Workflow Data Written</x:v>
      </x:c>
      <x:c r="C31" s="34" t="str">
        <x:v>R2 / Workflows</x:v>
      </x:c>
      <x:c r="D31" s="34" t="str">
        <x:v>GB written</x:v>
      </x:c>
      <x:c r="E31" s="36" t="n">
        <x:v>0.015</x:v>
      </x:c>
      <x:c r="F31" s="36" t="n">
        <x:v>0.5</x:v>
      </x:c>
      <x:c r="G31" s="36" t="n">
        <x:v>0.5</x:v>
      </x:c>
      <x:c r="H31" s="34" t="str">
        <x:v>Shared</x:v>
      </x:c>
      <x:c r="I31" s="34" t="str">
        <x:v>10 MiB</x:v>
      </x:c>
      <x:c r="J31" s="34" t="str">
        <x:v>1 GiB</x:v>
      </x:c>
      <x:c r="K31" s="37" t="n">
        <x:f>IF(F31=0,0,(F31-E31)/F31)</x:f>
        <x:v>0.97</x:v>
      </x:c>
      <x:c r="L31" s="34" t="str">
        <x:v>https://developers.cloudflare.com/workers/platform/pricing/</x:v>
      </x:c>
      <x:c r="M31" s="34" t="str">
        <x:v>Value-priced; R2 Class A writes are additionally counted.</x:v>
      </x:c>
    </x:row>
    <x:row r="32">
      <x:c r="A32" s="34" t="str">
        <x:v>bulk_redirect_25k</x:v>
      </x:c>
      <x:c r="B32" s="34" t="str">
        <x:v>Bulk Redirect Writes</x:v>
      </x:c>
      <x:c r="C32" s="34" t="str">
        <x:v>Cloudflare KV</x:v>
      </x:c>
      <x:c r="D32" s="34" t="str">
        <x:v>25K redirects</x:v>
      </x:c>
      <x:c r="E32" s="36" t="n">
        <x:v>0.125</x:v>
      </x:c>
      <x:c r="F32" s="36" t="n">
        <x:v>50</x:v>
      </x:c>
      <x:c r="G32" s="36" t="n">
        <x:v>50</x:v>
      </x:c>
      <x:c r="H32" s="34" t="str">
        <x:v>Shared KV allowance</x:v>
      </x:c>
      <x:c r="I32" s="34" t="str">
        <x:v>100</x:v>
      </x:c>
      <x:c r="J32" s="34" t="str">
        <x:v>1K</x:v>
      </x:c>
      <x:c r="K32" s="37" t="n">
        <x:f>IF(F32=0,0,(F32-E32)/F32)</x:f>
        <x:v>0.9975</x:v>
      </x:c>
      <x:c r="L32" s="34" t="str">
        <x:v>https://developers.cloudflare.com/kv/platform/pricing/</x:v>
      </x:c>
      <x:c r="M32" s="34" t="str">
        <x:v>Value-priced catalog line; direct KV write cost is approximately $0.125 per 25K after allowances.</x:v>
      </x:c>
    </x:row>
    <x:row r="33">
      <x:c r="A33" s="34" t="str">
        <x:v>workers_logs</x:v>
      </x:c>
      <x:c r="B33" s="34" t="str">
        <x:v>Runtime Logs</x:v>
      </x:c>
      <x:c r="C33" s="34" t="str">
        <x:v>Cloudflare Workers Logs</x:v>
      </x:c>
      <x:c r="D33" s="34" t="str">
        <x:v>1M log events</x:v>
      </x:c>
      <x:c r="E33" s="36" t="n">
        <x:v>0.6</x:v>
      </x:c>
      <x:c r="F33" s="36" t="n">
        <x:v>1.5</x:v>
      </x:c>
      <x:c r="G33" s="36"/>
      <x:c r="H33" s="34" t="str">
        <x:v>20M/account/mo</x:v>
      </x:c>
      <x:c r="I33" s="34" t="str">
        <x:v>Basic</x:v>
      </x:c>
      <x:c r="J33" s="34" t="str">
        <x:v>Basic</x:v>
      </x:c>
      <x:c r="K33" s="37" t="n">
        <x:f>IF(F33=0,0,(F33-E33)/F33)</x:f>
        <x:v>0.6</x:v>
      </x:c>
      <x:c r="L33" s="34" t="str">
        <x:v>https://developers.cloudflare.com/workers/platform/pricing/</x:v>
      </x:c>
      <x:c r="M33" s="34" t="str">
        <x:v>7-day provider retention on Workers Paid.</x:v>
      </x:c>
    </x:row>
    <x:row r="34">
      <x:c r="A34" s="34" t="str">
        <x:v>trace_events</x:v>
      </x:c>
      <x:c r="B34" s="34" t="str">
        <x:v>Session Tracing</x:v>
      </x:c>
      <x:c r="C34" s="34" t="str">
        <x:v>Cloudflare Workers Traces</x:v>
      </x:c>
      <x:c r="D34" s="34" t="str">
        <x:v>1M spans/events</x:v>
      </x:c>
      <x:c r="E34" s="36" t="n">
        <x:v>0.6</x:v>
      </x:c>
      <x:c r="F34" s="36" t="n">
        <x:v>1.5</x:v>
      </x:c>
      <x:c r="G34" s="36"/>
      <x:c r="H34" s="34" t="str">
        <x:v>Shared observability allowance</x:v>
      </x:c>
      <x:c r="I34" s="34" t="str">
        <x:v>—</x:v>
      </x:c>
      <x:c r="J34" s="34" t="str">
        <x:v>Add-on</x:v>
      </x:c>
      <x:c r="K34" s="37" t="n">
        <x:f>IF(F34=0,0,(F34-E34)/F34)</x:f>
        <x:v>0.6</x:v>
      </x:c>
      <x:c r="L34" s="34" t="str">
        <x:v>https://developers.cloudflare.com/workers/observability/traces/</x:v>
      </x:c>
      <x:c r="M34" s="34" t="str">
        <x:v>Use sampling and retention limits.</x:v>
      </x:c>
    </x:row>
    <x:row r="35">
      <x:c r="A35" s="34" t="str">
        <x:v>do_requests</x:v>
      </x:c>
      <x:c r="B35" s="34" t="str">
        <x:v>Durable Object Requests</x:v>
      </x:c>
      <x:c r="C35" s="34" t="str">
        <x:v>Cloudflare Durable Objects</x:v>
      </x:c>
      <x:c r="D35" s="34" t="str">
        <x:v>1M requests</x:v>
      </x:c>
      <x:c r="E35" s="36" t="n">
        <x:v>0.15</x:v>
      </x:c>
      <x:c r="F35" s="36" t="n">
        <x:v>0.5</x:v>
      </x:c>
      <x:c r="G35" s="36"/>
      <x:c r="H35" s="34" t="str">
        <x:v>1M/account/mo</x:v>
      </x:c>
      <x:c r="I35" s="34" t="str">
        <x:v>—</x:v>
      </x:c>
      <x:c r="J35" s="34" t="str">
        <x:v>—</x:v>
      </x:c>
      <x:c r="K35" s="37" t="n">
        <x:f>IF(F35=0,0,(F35-E35)/F35)</x:f>
        <x:v>0.7</x:v>
      </x:c>
      <x:c r="L35" s="34" t="str">
        <x:v>https://developers.cloudflare.com/durable-objects/platform/pricing/</x:v>
      </x:c>
      <x:c r="M35" s="34" t="str">
        <x:v>Required by some coordination and container control-plane paths.</x:v>
      </x:c>
    </x:row>
    <x:row r="36">
      <x:c r="A36" s="34" t="str">
        <x:v>do_duration</x:v>
      </x:c>
      <x:c r="B36" s="34" t="str">
        <x:v>Durable Object Duration</x:v>
      </x:c>
      <x:c r="C36" s="34" t="str">
        <x:v>Cloudflare Durable Objects</x:v>
      </x:c>
      <x:c r="D36" s="34" t="str">
        <x:v>1M GB-seconds</x:v>
      </x:c>
      <x:c r="E36" s="36" t="n">
        <x:v>12.5</x:v>
      </x:c>
      <x:c r="F36" s="36" t="n">
        <x:v>30</x:v>
      </x:c>
      <x:c r="G36" s="36"/>
      <x:c r="H36" s="34" t="str">
        <x:v>400K GB-s/account/mo</x:v>
      </x:c>
      <x:c r="I36" s="34" t="str">
        <x:v>—</x:v>
      </x:c>
      <x:c r="J36" s="34" t="str">
        <x:v>—</x:v>
      </x:c>
      <x:c r="K36" s="37" t="n">
        <x:f>IF(F36=0,0,(F36-E36)/F36)</x:f>
        <x:v>0.5833333333333334</x:v>
      </x:c>
      <x:c r="L36" s="34" t="str">
        <x:v>https://developers.cloudflare.com/durable-objects/platform/pricing/</x:v>
      </x:c>
      <x:c r="M36" s="34" t="str">
        <x:v>Avoid billing idle WebSockets by using hibernation.</x:v>
      </x:c>
    </x:row>
    <x:row r="37">
      <x:c r="A37" s="34" t="str">
        <x:v>do_storage</x:v>
      </x:c>
      <x:c r="B37" s="34" t="str">
        <x:v>Durable Object Storage</x:v>
      </x:c>
      <x:c r="C37" s="34" t="str">
        <x:v>Cloudflare Durable Objects</x:v>
      </x:c>
      <x:c r="D37" s="34" t="str">
        <x:v>GB-month</x:v>
      </x:c>
      <x:c r="E37" s="36" t="n">
        <x:v>0.2</x:v>
      </x:c>
      <x:c r="F37" s="36" t="n">
        <x:v>0.5</x:v>
      </x:c>
      <x:c r="G37" s="36"/>
      <x:c r="H37" s="34" t="str">
        <x:v>5 GB/account/mo</x:v>
      </x:c>
      <x:c r="I37" s="34" t="str">
        <x:v>—</x:v>
      </x:c>
      <x:c r="J37" s="34" t="str">
        <x:v>—</x:v>
      </x:c>
      <x:c r="K37" s="37" t="n">
        <x:f>IF(F37=0,0,(F37-E37)/F37)</x:f>
        <x:v>0.6</x:v>
      </x:c>
      <x:c r="L37" s="34" t="str">
        <x:v>https://developers.cloudflare.com/durable-objects/platform/pricing/</x:v>
      </x:c>
      <x:c r="M37" s="34" t="str">
        <x:v>SQLite-backed storage.</x:v>
      </x:c>
    </x:row>
    <x:row r="38">
      <x:c r="A38" s="34" t="str">
        <x:v>do_row_reads</x:v>
      </x:c>
      <x:c r="B38" s="34" t="str">
        <x:v>Durable Object Row Reads</x:v>
      </x:c>
      <x:c r="C38" s="34" t="str">
        <x:v>Cloudflare Durable Objects</x:v>
      </x:c>
      <x:c r="D38" s="34" t="str">
        <x:v>1M rows</x:v>
      </x:c>
      <x:c r="E38" s="36" t="n">
        <x:v>0.001</x:v>
      </x:c>
      <x:c r="F38" s="36" t="n">
        <x:v>0.01</x:v>
      </x:c>
      <x:c r="G38" s="36"/>
      <x:c r="H38" s="34" t="str">
        <x:v>25B/account/mo</x:v>
      </x:c>
      <x:c r="I38" s="34" t="str">
        <x:v>—</x:v>
      </x:c>
      <x:c r="J38" s="34" t="str">
        <x:v>—</x:v>
      </x:c>
      <x:c r="K38" s="37" t="n">
        <x:f>IF(F38=0,0,(F38-E38)/F38)</x:f>
        <x:v>0.9000000000000001</x:v>
      </x:c>
      <x:c r="L38" s="34" t="str">
        <x:v>https://developers.cloudflare.com/durable-objects/platform/pricing/</x:v>
      </x:c>
      <x:c r="M38" s="34" t="str">
        <x:v>SQLite storage reads.</x:v>
      </x:c>
    </x:row>
    <x:row r="39">
      <x:c r="A39" s="34" t="str">
        <x:v>do_row_writes</x:v>
      </x:c>
      <x:c r="B39" s="34" t="str">
        <x:v>Durable Object Row Writes</x:v>
      </x:c>
      <x:c r="C39" s="34" t="str">
        <x:v>Cloudflare Durable Objects</x:v>
      </x:c>
      <x:c r="D39" s="34" t="str">
        <x:v>1M rows</x:v>
      </x:c>
      <x:c r="E39" s="36" t="n">
        <x:v>1</x:v>
      </x:c>
      <x:c r="F39" s="36" t="n">
        <x:v>3</x:v>
      </x:c>
      <x:c r="G39" s="36"/>
      <x:c r="H39" s="34" t="str">
        <x:v>50M/account/mo</x:v>
      </x:c>
      <x:c r="I39" s="34" t="str">
        <x:v>—</x:v>
      </x:c>
      <x:c r="J39" s="34" t="str">
        <x:v>—</x:v>
      </x:c>
      <x:c r="K39" s="37" t="n">
        <x:f>IF(F39=0,0,(F39-E39)/F39)</x:f>
        <x:v>0.6666666666666666</x:v>
      </x:c>
      <x:c r="L39" s="34" t="str">
        <x:v>https://developers.cloudflare.com/durable-objects/platform/pricing/</x:v>
      </x:c>
      <x:c r="M39" s="34" t="str">
        <x:v>SQLite storage writes.</x:v>
      </x:c>
    </x:row>
    <x:row r="40">
      <x:c r="A40" s="34" t="str">
        <x:v>r2_sql_scan</x:v>
      </x:c>
      <x:c r="B40" s="34" t="str">
        <x:v>Analytics Data Scanned</x:v>
      </x:c>
      <x:c r="C40" s="34" t="str">
        <x:v>Cloudflare R2 SQL</x:v>
      </x:c>
      <x:c r="D40" s="34" t="str">
        <x:v>GB scanned</x:v>
      </x:c>
      <x:c r="E40" s="36" t="n">
        <x:v>0.0025</x:v>
      </x:c>
      <x:c r="F40" s="36" t="n">
        <x:v>0.01</x:v>
      </x:c>
      <x:c r="G40" s="36"/>
      <x:c r="H40" s="34" t="str">
        <x:v>10 GB/account/mo</x:v>
      </x:c>
      <x:c r="I40" s="34" t="str">
        <x:v>—</x:v>
      </x:c>
      <x:c r="J40" s="34" t="str">
        <x:v>—</x:v>
      </x:c>
      <x:c r="K40" s="37" t="n">
        <x:f>IF(F40=0,0,(F40-E40)/F40)</x:f>
        <x:v>0.75</x:v>
      </x:c>
      <x:c r="L40" s="34" t="str">
        <x:v>https://developers.cloudflare.com/r2-sql/platform/pricing/</x:v>
      </x:c>
      <x:c r="M40" s="34" t="str">
        <x:v>Minimum 10 MB scanned per query; Class B reads also apply.</x:v>
      </x:c>
    </x:row>
    <x:row r="41">
      <x:c r="A41" s="34" t="str">
        <x:v>mail_units</x:v>
      </x:c>
      <x:c r="B41" s="34" t="str">
        <x:v>Sent or Received Email</x:v>
      </x:c>
      <x:c r="C41" s="34" t="str">
        <x:v>Resend</x:v>
      </x:c>
      <x:c r="D41" s="34" t="str">
        <x:v>1K email units</x:v>
      </x:c>
      <x:c r="E41" s="36" t="n">
        <x:v>0.9</x:v>
      </x:c>
      <x:c r="F41" s="36" t="n">
        <x:v>2</x:v>
      </x:c>
      <x:c r="G41" s="36" t="n">
        <x:v>2</x:v>
      </x:c>
      <x:c r="H41" s="34" t="str">
        <x:v>Plan allowance</x:v>
      </x:c>
      <x:c r="I41" s="34" t="str">
        <x:v>100</x:v>
      </x:c>
      <x:c r="J41" s="34" t="str">
        <x:v>500 + add-on</x:v>
      </x:c>
      <x:c r="K41" s="37" t="n">
        <x:f>IF(F41=0,0,(F41-E41)/F41)</x:f>
        <x:v>0.55</x:v>
      </x:c>
      <x:c r="L41" s="34" t="str">
        <x:v>https://resend.com/pricing</x:v>
      </x:c>
      <x:c r="M41" s="34" t="str">
        <x:v>Each recipient and each inbound message counts as one email unit.</x:v>
      </x:c>
    </x:row>
    <x:row r="42">
      <x:c r="A42" s="34" t="str">
        <x:v>dedicated_ip</x:v>
      </x:c>
      <x:c r="B42" s="34" t="str">
        <x:v>Dedicated Email IP</x:v>
      </x:c>
      <x:c r="C42" s="34" t="str">
        <x:v>Resend</x:v>
      </x:c>
      <x:c r="D42" s="34" t="str">
        <x:v>IP-month</x:v>
      </x:c>
      <x:c r="E42" s="36" t="n">
        <x:v>30</x:v>
      </x:c>
      <x:c r="F42" s="36" t="n">
        <x:v>50</x:v>
      </x:c>
      <x:c r="G42" s="36"/>
      <x:c r="H42" s="34" t="str">
        <x:v>None</x:v>
      </x:c>
      <x:c r="I42" s="34" t="str">
        <x:v>—</x:v>
      </x:c>
      <x:c r="J42" s="34" t="str">
        <x:v>Optional</x:v>
      </x:c>
      <x:c r="K42" s="37" t="n">
        <x:f>IF(F42=0,0,(F42-E42)/F42)</x:f>
        <x:v>0.4</x:v>
      </x:c>
      <x:c r="L42" s="34" t="str">
        <x:v>https://resend.com/pricing</x:v>
      </x:c>
      <x:c r="M42" s="34" t="str">
        <x:v>Available at Resend's qualifying volume/plan; never promise before provider approval.</x:v>
      </x:c>
    </x:row>
    <x:row r="43">
      <x:c r="A43" s="34" t="str">
        <x:v>neon_compute</x:v>
      </x:c>
      <x:c r="B43" s="34" t="str">
        <x:v>Database Compute</x:v>
      </x:c>
      <x:c r="C43" s="34" t="str">
        <x:v>Neon Launch</x:v>
      </x:c>
      <x:c r="D43" s="34" t="str">
        <x:v>CU-hour</x:v>
      </x:c>
      <x:c r="E43" s="36" t="n">
        <x:v>0.106</x:v>
      </x:c>
      <x:c r="F43" s="36" t="n">
        <x:v>0.25</x:v>
      </x:c>
      <x:c r="G43" s="36"/>
      <x:c r="H43" s="34" t="str">
        <x:v>Free/plan dependent</x:v>
      </x:c>
      <x:c r="I43" s="34" t="str">
        <x:v>Shared</x:v>
      </x:c>
      <x:c r="J43" s="34" t="str">
        <x:v>Shared</x:v>
      </x:c>
      <x:c r="K43" s="37" t="n">
        <x:f>IF(F43=0,0,(F43-E43)/F43)</x:f>
        <x:v>0.5760000000000001</x:v>
      </x:c>
      <x:c r="L43" s="34" t="str">
        <x:v>https://neon.com/pricing</x:v>
      </x:c>
      <x:c r="M43" s="34" t="str">
        <x:v>Treat as platform overhead unless an enterprise customer receives isolated database compute.</x:v>
      </x:c>
    </x:row>
    <x:row r="44">
      <x:c r="A44" s="34" t="str">
        <x:v>neon_storage</x:v>
      </x:c>
      <x:c r="B44" s="34" t="str">
        <x:v>Database Storage</x:v>
      </x:c>
      <x:c r="C44" s="34" t="str">
        <x:v>Neon Launch</x:v>
      </x:c>
      <x:c r="D44" s="34" t="str">
        <x:v>GB-month</x:v>
      </x:c>
      <x:c r="E44" s="36" t="n">
        <x:v>0.35</x:v>
      </x:c>
      <x:c r="F44" s="36" t="n">
        <x:v>0.75</x:v>
      </x:c>
      <x:c r="G44" s="36"/>
      <x:c r="H44" s="34" t="str">
        <x:v>Plan dependent</x:v>
      </x:c>
      <x:c r="I44" s="34" t="str">
        <x:v>Shared</x:v>
      </x:c>
      <x:c r="J44" s="34" t="str">
        <x:v>Shared</x:v>
      </x:c>
      <x:c r="K44" s="37" t="n">
        <x:f>IF(F44=0,0,(F44-E44)/F44)</x:f>
        <x:v>0.5333333333333333</x:v>
      </x:c>
      <x:c r="L44" s="34" t="str">
        <x:v>https://neon.com/pricing</x:v>
      </x:c>
      <x:c r="M44" s="34" t="str">
        <x:v>Separate from customer Blob storage.</x:v>
      </x:c>
    </x:row>
    <x:row r="45">
      <x:c r="A45" s="34" t="str">
        <x:v>stripe_billing</x:v>
      </x:c>
      <x:c r="B45" s="34" t="str">
        <x:v>Stripe Billing</x:v>
      </x:c>
      <x:c r="C45" s="34" t="str">
        <x:v>Stripe</x:v>
      </x:c>
      <x:c r="D45" s="34" t="str">
        <x:v>$1 invoiced</x:v>
      </x:c>
      <x:c r="E45" s="36" t="n">
        <x:v>0.007</x:v>
      </x:c>
      <x:c r="F45" s="36" t="n">
        <x:v>0</x:v>
      </x:c>
      <x:c r="G45" s="36"/>
      <x:c r="H45" s="34" t="str">
        <x:v>No monthly fee on PAYG</x:v>
      </x:c>
      <x:c r="I45" s="34" t="str">
        <x:v>Shared</x:v>
      </x:c>
      <x:c r="J45" s="34" t="str">
        <x:v>Shared</x:v>
      </x:c>
      <x:c r="K45" s="37" t="n">
        <x:f>IF(F45=0,0,(F45-E45)/F45)</x:f>
        <x:v>0</x:v>
      </x:c>
      <x:c r="L45" s="34" t="str">
        <x:v>https://stripe.com/billing/pricing</x:v>
      </x:c>
      <x:c r="M45" s="34" t="str">
        <x:v>A provider fee deducted from margin; do not expose as a customer line item.</x:v>
      </x:c>
    </x:row>
    <x:row r="46">
      <x:c r="A46" s="34" t="str">
        <x:v>stripe_payments_pct</x:v>
      </x:c>
      <x:c r="B46" s="34" t="str">
        <x:v>Stripe Payments percentage</x:v>
      </x:c>
      <x:c r="C46" s="34" t="str">
        <x:v>Stripe</x:v>
      </x:c>
      <x:c r="D46" s="34" t="str">
        <x:v>$1 card volume</x:v>
      </x:c>
      <x:c r="E46" s="36" t="n">
        <x:v>0.029</x:v>
      </x:c>
      <x:c r="F46" s="36" t="n">
        <x:v>0</x:v>
      </x:c>
      <x:c r="G46" s="36"/>
      <x:c r="H46" s="34" t="str">
        <x:v>No monthly fee on standard pricing</x:v>
      </x:c>
      <x:c r="I46" s="34" t="str">
        <x:v>Shared</x:v>
      </x:c>
      <x:c r="J46" s="34" t="str">
        <x:v>Shared</x:v>
      </x:c>
      <x:c r="K46" s="37" t="n">
        <x:f>IF(F46=0,0,(F46-E46)/F46)</x:f>
        <x:v>0</x:v>
      </x:c>
      <x:c r="L46" s="34" t="str">
        <x:v>https://stripe.com/pricing</x:v>
      </x:c>
      <x:c r="M46" s="34" t="str">
        <x:v>US standard domestic card rate shown; account-country, international and FX pricing can differ.</x:v>
      </x:c>
    </x:row>
    <x:row r="47">
      <x:c r="A47" s="34" t="str">
        <x:v>stripe_payments_fixed</x:v>
      </x:c>
      <x:c r="B47" s="34" t="str">
        <x:v>Stripe Payments fixed fee</x:v>
      </x:c>
      <x:c r="C47" s="34" t="str">
        <x:v>Stripe</x:v>
      </x:c>
      <x:c r="D47" s="34" t="str">
        <x:v>successful card charge</x:v>
      </x:c>
      <x:c r="E47" s="36" t="n">
        <x:v>0.3</x:v>
      </x:c>
      <x:c r="F47" s="36" t="n">
        <x:v>0</x:v>
      </x:c>
      <x:c r="G47" s="36"/>
      <x:c r="H47" s="34" t="str">
        <x:v>None</x:v>
      </x:c>
      <x:c r="I47" s="34" t="str">
        <x:v>Shared</x:v>
      </x:c>
      <x:c r="J47" s="34" t="str">
        <x:v>Shared</x:v>
      </x:c>
      <x:c r="K47" s="37" t="n">
        <x:f>IF(F47=0,0,(F47-E47)/F47)</x:f>
        <x:v>0</x:v>
      </x:c>
      <x:c r="L47" s="34" t="str">
        <x:v>https://stripe.com/pricing</x:v>
      </x:c>
      <x:c r="M47" s="34" t="str">
        <x:v>US standard domestic card fee shown.</x:v>
      </x:c>
    </x:row>
  </x:sheetData>
  <x:mergeCells>
    <x:mergeCell ref="A1:M1"/>
    <x:mergeCell ref="A2:M2"/>
  </x:mergeCells>
  <x:conditionalFormatting sqref="K5:K47">
    <x:cfRule type="cellIs" dxfId="1" priority="1" operator="lessThan">
      <x:formula>0.5</x:formula>
    </x:cfRule>
  </x:conditionalFormatting>
  <x:conditionalFormatting sqref="M5:M47">
    <x:cfRule type="expression" dxfId="2" priority="2">
      <x:formula>ISNUMBER(SEARCH("CATALOG REVIEW",M5))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31" hidden="0" customWidth="1"/>
    <x:col min="4" max="4" width="21" hidden="0" customWidth="1"/>
    <x:col min="5" max="5" width="25" hidden="0" customWidth="1"/>
    <x:col min="6" max="6" width="25" hidden="0" customWidth="1"/>
    <x:col min="7" max="7" width="25" hidden="0" customWidth="1"/>
    <x:col min="8" max="8" width="24" hidden="0" customWidth="1"/>
    <x:col min="9" max="9" width="48" hidden="0" customWidth="1"/>
    <x:col min="10" max="10" width="48" hidden="0" customWidth="1"/>
    <x:col min="11" max="11" width="58" hidden="0" customWidth="1"/>
  </x:cols>
  <x:sheetData>
    <x:row r="1" ht="34" customHeight="1">
      <x:c r="A1" s="29" t="str">
        <x:v>Complete Feature Cost Catalog</x:v>
      </x:c>
      <x:c r="B1" s="29" t="str">
        <x:v>Complete Feature Cost Catalog</x:v>
      </x:c>
      <x:c r="C1" s="29" t="str">
        <x:v>Complete Feature Cost Catalog</x:v>
      </x:c>
      <x:c r="D1" s="29" t="str">
        <x:v>Complete Feature Cost Catalog</x:v>
      </x:c>
      <x:c r="E1" s="29" t="str">
        <x:v>Complete Feature Cost Catalog</x:v>
      </x:c>
      <x:c r="F1" s="29" t="str">
        <x:v>Complete Feature Cost Catalog</x:v>
      </x:c>
      <x:c r="G1" s="29" t="str">
        <x:v>Complete Feature Cost Catalog</x:v>
      </x:c>
      <x:c r="H1" s="29" t="str">
        <x:v>Complete Feature Cost Catalog</x:v>
      </x:c>
      <x:c r="I1" s="29" t="str">
        <x:v>Complete Feature Cost Catalog</x:v>
      </x:c>
      <x:c r="J1" s="29" t="str">
        <x:v>Complete Feature Cost Catalog</x:v>
      </x:c>
      <x:c r="K1" s="29" t="str">
        <x:v>Complete Feature Cost Catalog</x:v>
      </x:c>
    </x:row>
    <x:row r="2" ht="30" customHeight="1">
      <x:c r="A2" s="30" t="str">
        <x:v>133 pricing-table features mapped to a marginal meter, included platform capability, or vendor contract. This is the saveable full list for custom quoting.</x:v>
      </x:c>
      <x:c r="B2" s="30" t="str">
        <x:v>133 pricing-table features mapped to a marginal meter, included platform capability, or vendor contract. This is the saveable full list for custom quoting.</x:v>
      </x:c>
      <x:c r="C2" s="30" t="str">
        <x:v>133 pricing-table features mapped to a marginal meter, included platform capability, or vendor contract. This is the saveable full list for custom quoting.</x:v>
      </x:c>
      <x:c r="D2" s="30" t="str">
        <x:v>133 pricing-table features mapped to a marginal meter, included platform capability, or vendor contract. This is the saveable full list for custom quoting.</x:v>
      </x:c>
      <x:c r="E2" s="30" t="str">
        <x:v>133 pricing-table features mapped to a marginal meter, included platform capability, or vendor contract. This is the saveable full list for custom quoting.</x:v>
      </x:c>
      <x:c r="F2" s="30" t="str">
        <x:v>133 pricing-table features mapped to a marginal meter, included platform capability, or vendor contract. This is the saveable full list for custom quoting.</x:v>
      </x:c>
      <x:c r="G2" s="30" t="str">
        <x:v>133 pricing-table features mapped to a marginal meter, included platform capability, or vendor contract. This is the saveable full list for custom quoting.</x:v>
      </x:c>
      <x:c r="H2" s="30" t="str">
        <x:v>133 pricing-table features mapped to a marginal meter, included platform capability, or vendor contract. This is the saveable full list for custom quoting.</x:v>
      </x:c>
      <x:c r="I2" s="30" t="str">
        <x:v>133 pricing-table features mapped to a marginal meter, included platform capability, or vendor contract. This is the saveable full list for custom quoting.</x:v>
      </x:c>
      <x:c r="J2" s="30" t="str">
        <x:v>133 pricing-table features mapped to a marginal meter, included platform capability, or vendor contract. This is the saveable full list for custom quoting.</x:v>
      </x:c>
      <x:c r="K2" s="30" t="str">
        <x:v>133 pricing-table features mapped to a marginal meter, included platform capability, or vendor contract. This is the saveable full list for custom quoting.</x:v>
      </x:c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4" ht="28" customHeight="1">
      <x:c r="A4" s="33" t="str">
        <x:v>Section</x:v>
      </x:c>
      <x:c r="B4" s="33" t="str">
        <x:v>Feature group</x:v>
      </x:c>
      <x:c r="C4" s="33" t="str">
        <x:v>Feature</x:v>
      </x:c>
      <x:c r="D4" s="33" t="str">
        <x:v>Implementation</x:v>
      </x:c>
      <x:c r="E4" s="33" t="str">
        <x:v>Hobby</x:v>
      </x:c>
      <x:c r="F4" s="33" t="str">
        <x:v>Pro</x:v>
      </x:c>
      <x:c r="G4" s="33" t="str">
        <x:v>Enterprise</x:v>
      </x:c>
      <x:c r="H4" s="33" t="str">
        <x:v>Rate key</x:v>
      </x:c>
      <x:c r="I4" s="33" t="str">
        <x:v>Provider cost treatment</x:v>
      </x:c>
      <x:c r="J4" s="33" t="str">
        <x:v>Recommended customer treatment</x:v>
      </x:c>
      <x:c r="K4" s="33" t="str">
        <x:v>Notes</x:v>
      </x:c>
    </x:row>
    <x:row r="5">
      <x:c r="A5" s="34" t="str">
        <x:v>Multivrs Delivery Network</x:v>
      </x:c>
      <x:c r="B5" s="34" t="str">
        <x:v>Multivrs Network</x:v>
      </x:c>
      <x:c r="C5" s="34" t="str">
        <x:v>Global Points of Presence</x:v>
      </x:c>
      <x:c r="D5" s="34" t="str">
        <x:v>available</x:v>
      </x:c>
      <x:c r="E5" s="34" t="str">
        <x:v>Included</x:v>
      </x:c>
      <x:c r="F5" s="34" t="str">
        <x:v>Included</x:v>
      </x:c>
      <x:c r="G5" s="34" t="str">
        <x:v>Included</x:v>
      </x:c>
      <x:c r="H5" s="34" t="str">
        <x:v>none</x:v>
      </x:c>
      <x:c r="I5" s="34" t="str">
        <x:v>Included platform capability</x:v>
      </x:c>
      <x:c r="J5" s="34" t="str">
        <x:v>Include in base plan; no separate usage line</x:v>
      </x:c>
      <x:c r="K5" s="34" t="str">
        <x:v>Requests enter Cloudflare's global edge before Multivrs routing runs.</x:v>
      </x:c>
    </x:row>
    <x:row r="6">
      <x:c r="A6" s="34" t="str">
        <x:v>Multivrs Delivery Network</x:v>
      </x:c>
      <x:c r="B6" s="34" t="str">
        <x:v>Multivrs Network</x:v>
      </x:c>
      <x:c r="C6" s="34" t="str">
        <x:v>Multivrs Regions</x:v>
      </x:c>
      <x:c r="D6" s="34" t="str">
        <x:v>preview</x:v>
      </x:c>
      <x:c r="E6" s="34" t="str">
        <x:v>Included</x:v>
      </x:c>
      <x:c r="F6" s="34" t="str">
        <x:v>Included</x:v>
      </x:c>
      <x:c r="G6" s="34" t="str">
        <x:v>Included</x:v>
      </x:c>
      <x:c r="H6" s="34" t="str">
        <x:v>none</x:v>
      </x:c>
      <x:c r="I6" s="34" t="str">
        <x:v>Included platform capability</x:v>
      </x:c>
      <x:c r="J6" s="34" t="str">
        <x:v>Include in base plan; no separate usage line</x:v>
      </x:c>
      <x:c r="K6" s="34" t="str">
        <x:v>Global edge placement is live; explicit compute-region selection follows the configured runtime.</x:v>
      </x:c>
    </x:row>
    <x:row r="7">
      <x:c r="A7" s="34" t="str">
        <x:v>Multivrs Delivery Network</x:v>
      </x:c>
      <x:c r="B7" s="34" t="str">
        <x:v>Multivrs Network</x:v>
      </x:c>
      <x:c r="C7" s="34" t="str">
        <x:v>Automatic Routing</x:v>
      </x:c>
      <x:c r="D7" s="34" t="str">
        <x:v>available</x:v>
      </x:c>
      <x:c r="E7" s="34" t="str">
        <x:v>Included</x:v>
      </x:c>
      <x:c r="F7" s="34" t="str">
        <x:v>Included</x:v>
      </x:c>
      <x:c r="G7" s="34" t="str">
        <x:v>Included</x:v>
      </x:c>
      <x:c r="H7" s="34" t="str">
        <x:v>none</x:v>
      </x:c>
      <x:c r="I7" s="34" t="str">
        <x:v>Included platform capability</x:v>
      </x:c>
      <x:c r="J7" s="34" t="str">
        <x:v>Include in base plan; no separate usage line</x:v>
      </x:c>
      <x:c r="K7" s="34" t="str">
        <x:v>Routes hostnames and paths to immutable deployment manifests automatically.</x:v>
      </x:c>
    </x:row>
    <x:row r="8">
      <x:c r="A8" s="34" t="str">
        <x:v>Multivrs Delivery Network</x:v>
      </x:c>
      <x:c r="B8" s="34" t="str">
        <x:v>Multivrs Network</x:v>
      </x:c>
      <x:c r="C8" s="34" t="str">
        <x:v>HTTPS Certificates</x:v>
      </x:c>
      <x:c r="D8" s="34" t="str">
        <x:v>available</x:v>
      </x:c>
      <x:c r="E8" s="34" t="str">
        <x:v>1 domain included</x:v>
      </x:c>
      <x:c r="F8" s="34" t="str">
        <x:v>5 domains included — then $0.25 per hostname / month</x:v>
      </x:c>
      <x:c r="G8" s="34" t="str">
        <x:v>Custom</x:v>
      </x:c>
      <x:c r="H8" s="34" t="str">
        <x:v>saas_hostname</x:v>
      </x:c>
      <x:c r="I8" s="34" t="str">
        <x:v>Cloudflare for SaaS — $0.1 per hostname-month</x:v>
      </x:c>
      <x:c r="J8" s="34" t="str">
        <x:v>$0.25 per hostname-month</x:v>
      </x:c>
      <x:c r="K8" s="34" t="str">
        <x:v>Managed certificate issuance for connected custom hostnames.</x:v>
      </x:c>
    </x:row>
    <x:row r="9">
      <x:c r="A9" s="34" t="str">
        <x:v>Multivrs Delivery Network</x:v>
      </x:c>
      <x:c r="B9" s="34" t="str">
        <x:v>Multivrs Network</x:v>
      </x:c>
      <x:c r="C9" s="34" t="str">
        <x:v>TLS/SSL Encryption</x:v>
      </x:c>
      <x:c r="D9" s="34" t="str">
        <x:v>available</x:v>
      </x:c>
      <x:c r="E9" s="34" t="str">
        <x:v>Included</x:v>
      </x:c>
      <x:c r="F9" s="34" t="str">
        <x:v>Included</x:v>
      </x:c>
      <x:c r="G9" s="34" t="str">
        <x:v>Included</x:v>
      </x:c>
      <x:c r="H9" s="34" t="str">
        <x:v>none</x:v>
      </x:c>
      <x:c r="I9" s="34" t="str">
        <x:v>Included platform capability</x:v>
      </x:c>
      <x:c r="J9" s="34" t="str">
        <x:v>Include in base plan; no separate usage line</x:v>
      </x:c>
      <x:c r="K9" s="34" t="str"/>
    </x:row>
    <x:row r="10">
      <x:c r="A10" s="34" t="str">
        <x:v>Multivrs Delivery Network</x:v>
      </x:c>
      <x:c r="B10" s="34" t="str">
        <x:v>Multivrs Network</x:v>
      </x:c>
      <x:c r="C10" s="34" t="str">
        <x:v>Traffic Load Balancing</x:v>
      </x:c>
      <x:c r="D10" s="34" t="str">
        <x:v>infrastructureRequired</x:v>
      </x:c>
      <x:c r="E10" s="34" t="str">
        <x:v>Not included</x:v>
      </x:c>
      <x:c r="F10" s="34" t="str">
        <x:v>Not included</x:v>
      </x:c>
      <x:c r="G10" s="34" t="str">
        <x:v>Not included</x:v>
      </x:c>
      <x:c r="H10" s="34" t="str">
        <x:v>none</x:v>
      </x:c>
      <x:c r="I10" s="34" t="str">
        <x:v>Provider contract / implementation cost; public unit rate unavailable</x:v>
      </x:c>
      <x:c r="J10" s="34" t="str">
        <x:v>Enterprise only; obtain vendor quote, add support/risk reserve and target margin</x:v>
      </x:c>
      <x:c r="K10" s="34" t="str">
        <x:v>Requires Cloudflare Load Balancing provisioning and health-check orchestration.</x:v>
      </x:c>
    </x:row>
    <x:row r="11">
      <x:c r="A11" s="34" t="str">
        <x:v>Multivrs Delivery Network</x:v>
      </x:c>
      <x:c r="B11" s="34" t="str">
        <x:v>Multivrs Network</x:v>
      </x:c>
      <x:c r="C11" s="34" t="str">
        <x:v>Private Inter-Region Network</x:v>
      </x:c>
      <x:c r="D11" s="34" t="str">
        <x:v>infrastructureRequired</x:v>
      </x:c>
      <x:c r="E11" s="34" t="str">
        <x:v>Not included</x:v>
      </x:c>
      <x:c r="F11" s="34" t="str">
        <x:v>Not included</x:v>
      </x:c>
      <x:c r="G11" s="34" t="str">
        <x:v>Not included</x:v>
      </x:c>
      <x:c r="H11" s="34" t="str">
        <x:v>none</x:v>
      </x:c>
      <x:c r="I11" s="34" t="str">
        <x:v>Provider contract / implementation cost; public unit rate unavailable</x:v>
      </x:c>
      <x:c r="J11" s="34" t="str">
        <x:v>Enterprise only; obtain vendor quote, add support/risk reserve and target margin</x:v>
      </x:c>
      <x:c r="K11" s="34" t="str">
        <x:v>Dedicated private regional networking is not currently provisioned.</x:v>
      </x:c>
    </x:row>
    <x:row r="12">
      <x:c r="A12" s="34" t="str">
        <x:v>Multivrs Delivery Network</x:v>
      </x:c>
      <x:c r="B12" s="34" t="str">
        <x:v>Multivrs Network</x:v>
      </x:c>
      <x:c r="C12" s="34" t="str">
        <x:v>Automatic Region Failover</x:v>
      </x:c>
      <x:c r="D12" s="34" t="str">
        <x:v>preview</x:v>
      </x:c>
      <x:c r="E12" s="34" t="str">
        <x:v>Not included</x:v>
      </x:c>
      <x:c r="F12" s="34" t="str">
        <x:v>Included</x:v>
      </x:c>
      <x:c r="G12" s="34" t="str">
        <x:v>Included</x:v>
      </x:c>
      <x:c r="H12" s="34" t="str">
        <x:v>none</x:v>
      </x:c>
      <x:c r="I12" s="34" t="str">
        <x:v>Included platform capability</x:v>
      </x:c>
      <x:c r="J12" s="34" t="str">
        <x:v>Include in base plan; no separate usage line</x:v>
      </x:c>
      <x:c r="K12" s="34" t="str">
        <x:v>Edge failover is global; compute failover follows the configured runtime policy.</x:v>
      </x:c>
    </x:row>
    <x:row r="13">
      <x:c r="A13" s="34" t="str">
        <x:v>Multivrs Delivery Network</x:v>
      </x:c>
      <x:c r="B13" s="34" t="str">
        <x:v>Configurable Routing</x:v>
      </x:c>
      <x:c r="C13" s="34" t="str">
        <x:v>Reverse Proxy</x:v>
      </x:c>
      <x:c r="D13" s="34" t="str">
        <x:v>available</x:v>
      </x:c>
      <x:c r="E13" s="34" t="str">
        <x:v>Included</x:v>
      </x:c>
      <x:c r="F13" s="34" t="str">
        <x:v>Included</x:v>
      </x:c>
      <x:c r="G13" s="34" t="str">
        <x:v>Included</x:v>
      </x:c>
      <x:c r="H13" s="34" t="str">
        <x:v>none</x:v>
      </x:c>
      <x:c r="I13" s="34" t="str">
        <x:v>Included platform capability</x:v>
      </x:c>
      <x:c r="J13" s="34" t="str">
        <x:v>Include in base plan; no separate usage line</x:v>
      </x:c>
      <x:c r="K13" s="34" t="str"/>
    </x:row>
    <x:row r="14">
      <x:c r="A14" s="34" t="str">
        <x:v>Multivrs Delivery Network</x:v>
      </x:c>
      <x:c r="B14" s="34" t="str">
        <x:v>Configurable Routing</x:v>
      </x:c>
      <x:c r="C14" s="34" t="str">
        <x:v>Rewrites</x:v>
      </x:c>
      <x:c r="D14" s="34" t="str">
        <x:v>available</x:v>
      </x:c>
      <x:c r="E14" s="34" t="str">
        <x:v>Included</x:v>
      </x:c>
      <x:c r="F14" s="34" t="str">
        <x:v>Included</x:v>
      </x:c>
      <x:c r="G14" s="34" t="str">
        <x:v>Included</x:v>
      </x:c>
      <x:c r="H14" s="34" t="str">
        <x:v>none</x:v>
      </x:c>
      <x:c r="I14" s="34" t="str">
        <x:v>Included platform capability</x:v>
      </x:c>
      <x:c r="J14" s="34" t="str">
        <x:v>Include in base plan; no separate usage line</x:v>
      </x:c>
      <x:c r="K14" s="34" t="str"/>
    </x:row>
    <x:row r="15">
      <x:c r="A15" s="34" t="str">
        <x:v>Multivrs Delivery Network</x:v>
      </x:c>
      <x:c r="B15" s="34" t="str">
        <x:v>Configurable Routing</x:v>
      </x:c>
      <x:c r="C15" s="34" t="str">
        <x:v>Redirects</x:v>
      </x:c>
      <x:c r="D15" s="34" t="str">
        <x:v>available</x:v>
      </x:c>
      <x:c r="E15" s="34" t="str">
        <x:v>Included</x:v>
      </x:c>
      <x:c r="F15" s="34" t="str">
        <x:v>Included</x:v>
      </x:c>
      <x:c r="G15" s="34" t="str">
        <x:v>Included</x:v>
      </x:c>
      <x:c r="H15" s="34" t="str">
        <x:v>none</x:v>
      </x:c>
      <x:c r="I15" s="34" t="str">
        <x:v>Included platform capability</x:v>
      </x:c>
      <x:c r="J15" s="34" t="str">
        <x:v>Include in base plan; no separate usage line</x:v>
      </x:c>
      <x:c r="K15" s="34" t="str"/>
    </x:row>
    <x:row r="16">
      <x:c r="A16" s="34" t="str">
        <x:v>Multivrs Delivery Network</x:v>
      </x:c>
      <x:c r="B16" s="34" t="str">
        <x:v>Configurable Routing</x:v>
      </x:c>
      <x:c r="C16" s="34" t="str">
        <x:v>Middleware Support</x:v>
      </x:c>
      <x:c r="D16" s="34" t="str">
        <x:v>available</x:v>
      </x:c>
      <x:c r="E16" s="34" t="str">
        <x:v>Included</x:v>
      </x:c>
      <x:c r="F16" s="34" t="str">
        <x:v>Included</x:v>
      </x:c>
      <x:c r="G16" s="34" t="str">
        <x:v>Included</x:v>
      </x:c>
      <x:c r="H16" s="34" t="str">
        <x:v>none</x:v>
      </x:c>
      <x:c r="I16" s="34" t="str">
        <x:v>Included platform capability</x:v>
      </x:c>
      <x:c r="J16" s="34" t="str">
        <x:v>Include in base plan; no separate usage line</x:v>
      </x:c>
      <x:c r="K16" s="34" t="str"/>
    </x:row>
    <x:row r="17">
      <x:c r="A17" s="34" t="str">
        <x:v>Multivrs Delivery Network</x:v>
      </x:c>
      <x:c r="B17" s="34" t="str">
        <x:v>Direct feature</x:v>
      </x:c>
      <x:c r="C17" s="34" t="str">
        <x:v>Edge Requests</x:v>
      </x:c>
      <x:c r="D17" s="34" t="str">
        <x:v>available</x:v>
      </x:c>
      <x:c r="E17" s="34" t="str">
        <x:v>100K / month included — hard limit</x:v>
      </x:c>
      <x:c r="F17" s="34" t="str">
        <x:v>1M / month included — then $1 per 1M</x:v>
      </x:c>
      <x:c r="G17" s="34" t="str">
        <x:v>Custom</x:v>
      </x:c>
      <x:c r="H17" s="34" t="str">
        <x:v>edge_requests</x:v>
      </x:c>
      <x:c r="I17" s="34" t="str">
        <x:v>Cloudflare Workers — $0.3 per 1M requests</x:v>
      </x:c>
      <x:c r="J17" s="34" t="str">
        <x:v>$1 per 1M requests</x:v>
      </x:c>
      <x:c r="K17" s="34" t="str">
        <x:v>Dynamic requests handled by the Multivrs serving edge. Static asset requests may be served without invoking compute.</x:v>
      </x:c>
    </x:row>
    <x:row r="18">
      <x:c r="A18" s="34" t="str">
        <x:v>Multivrs Delivery Network</x:v>
      </x:c>
      <x:c r="B18" s="34" t="str">
        <x:v>Direct feature</x:v>
      </x:c>
      <x:c r="C18" s="34" t="str">
        <x:v>Fast Data Transfer</x:v>
      </x:c>
      <x:c r="D18" s="34" t="str">
        <x:v>available</x:v>
      </x:c>
      <x:c r="E18" s="34" t="str">
        <x:v>5 GB / month included — hard limit</x:v>
      </x:c>
      <x:c r="F18" s="34" t="str">
        <x:v>50 GB / month included — then $0.10 per GB</x:v>
      </x:c>
      <x:c r="G18" s="34" t="str">
        <x:v>Custom</x:v>
      </x:c>
      <x:c r="H18" s="34" t="str">
        <x:v>fast_data_transfer_worst</x:v>
      </x:c>
      <x:c r="I18" s="34" t="str">
        <x:v>Cloudflare Containers — $0.05 per GB egress</x:v>
      </x:c>
      <x:c r="J18" s="34" t="str">
        <x:v>$0.1 per GB egress</x:v>
      </x:c>
      <x:c r="K18" s="34" t="str">
        <x:v>Data delivered from Multivrs storage or compute to visitors.</x:v>
      </x:c>
    </x:row>
    <x:row r="19">
      <x:c r="A19" s="34" t="str">
        <x:v>Multivrs Firewall</x:v>
      </x:c>
      <x:c r="B19" s="34" t="str">
        <x:v>Web Application Firewall</x:v>
      </x:c>
      <x:c r="C19" s="34" t="str">
        <x:v>Custom Firewall Rules</x:v>
      </x:c>
      <x:c r="D19" s="34" t="str">
        <x:v>available</x:v>
      </x:c>
      <x:c r="E19" s="34" t="str">
        <x:v>Up to 3</x:v>
      </x:c>
      <x:c r="F19" s="34" t="str">
        <x:v>Up to 20</x:v>
      </x:c>
      <x:c r="G19" s="34" t="str">
        <x:v>Custom</x:v>
      </x:c>
      <x:c r="H19" s="34" t="str">
        <x:v>none</x:v>
      </x:c>
      <x:c r="I19" s="34" t="str">
        <x:v>Included platform capability</x:v>
      </x:c>
      <x:c r="J19" s="34" t="str">
        <x:v>Include in base plan; no separate usage line</x:v>
      </x:c>
      <x:c r="K19" s="34" t="str"/>
    </x:row>
    <x:row r="20">
      <x:c r="A20" s="34" t="str">
        <x:v>Multivrs Firewall</x:v>
      </x:c>
      <x:c r="B20" s="34" t="str">
        <x:v>Web Application Firewall</x:v>
      </x:c>
      <x:c r="C20" s="34" t="str">
        <x:v>IP Blocking</x:v>
      </x:c>
      <x:c r="D20" s="34" t="str">
        <x:v>available</x:v>
      </x:c>
      <x:c r="E20" s="34" t="str">
        <x:v>Up to 3</x:v>
      </x:c>
      <x:c r="F20" s="34" t="str">
        <x:v>Up to 50</x:v>
      </x:c>
      <x:c r="G20" s="34" t="str">
        <x:v>Custom</x:v>
      </x:c>
      <x:c r="H20" s="34" t="str">
        <x:v>none</x:v>
      </x:c>
      <x:c r="I20" s="34" t="str">
        <x:v>Included platform capability</x:v>
      </x:c>
      <x:c r="J20" s="34" t="str">
        <x:v>Include in base plan; no separate usage line</x:v>
      </x:c>
      <x:c r="K20" s="34" t="str"/>
    </x:row>
    <x:row r="21">
      <x:c r="A21" s="34" t="str">
        <x:v>Multivrs Firewall</x:v>
      </x:c>
      <x:c r="B21" s="34" t="str">
        <x:v>Web Application Firewall</x:v>
      </x:c>
      <x:c r="C21" s="34" t="str">
        <x:v>System Bypass Rules</x:v>
      </x:c>
      <x:c r="D21" s="34" t="str">
        <x:v>available</x:v>
      </x:c>
      <x:c r="E21" s="34" t="str">
        <x:v>Not included</x:v>
      </x:c>
      <x:c r="F21" s="34" t="str">
        <x:v>Up to 10</x:v>
      </x:c>
      <x:c r="G21" s="34" t="str">
        <x:v>Custom</x:v>
      </x:c>
      <x:c r="H21" s="34" t="str">
        <x:v>none</x:v>
      </x:c>
      <x:c r="I21" s="34" t="str">
        <x:v>Included platform capability</x:v>
      </x:c>
      <x:c r="J21" s="34" t="str">
        <x:v>Include in base plan; no separate usage line</x:v>
      </x:c>
      <x:c r="K21" s="34" t="str">
        <x:v>Audited and expiring tokens for scoped system bypasses.</x:v>
      </x:c>
    </x:row>
    <x:row r="22">
      <x:c r="A22" s="34" t="str">
        <x:v>Multivrs Firewall</x:v>
      </x:c>
      <x:c r="B22" s="34" t="str">
        <x:v>Web Application Firewall</x:v>
      </x:c>
      <x:c r="C22" s="34" t="str">
        <x:v>Rate Limiting</x:v>
      </x:c>
      <x:c r="D22" s="34" t="str">
        <x:v>preview</x:v>
      </x:c>
      <x:c r="E22" s="34" t="str">
        <x:v>100K checks included — Preview</x:v>
      </x:c>
      <x:c r="F22" s="34" t="str">
        <x:v>1M checks included — Preview</x:v>
      </x:c>
      <x:c r="G22" s="34" t="str">
        <x:v>Custom</x:v>
      </x:c>
      <x:c r="H22" s="34" t="str">
        <x:v>none</x:v>
      </x:c>
      <x:c r="I22" s="34" t="str">
        <x:v>Included platform capability</x:v>
      </x:c>
      <x:c r="J22" s="34" t="str">
        <x:v>Include in base plan; no separate usage line</x:v>
      </x:c>
      <x:c r="K22" s="34" t="str">
        <x:v>Uses a Cloudflare Rate Limiting binding with project rules. Counters are intentionally eventually consistent.</x:v>
      </x:c>
    </x:row>
    <x:row r="23">
      <x:c r="A23" s="34" t="str">
        <x:v>Multivrs Firewall</x:v>
      </x:c>
      <x:c r="B23" s="34" t="str">
        <x:v>Web Application Firewall</x:v>
      </x:c>
      <x:c r="C23" s="34" t="str">
        <x:v>OWASP Core Ruleset (managed)</x:v>
      </x:c>
      <x:c r="D23" s="34" t="str">
        <x:v>infrastructureRequired</x:v>
      </x:c>
      <x:c r="E23" s="34" t="str">
        <x:v>Not included</x:v>
      </x:c>
      <x:c r="F23" s="34" t="str">
        <x:v>Not included</x:v>
      </x:c>
      <x:c r="G23" s="34" t="str">
        <x:v>Not included</x:v>
      </x:c>
      <x:c r="H23" s="34" t="str">
        <x:v>none</x:v>
      </x:c>
      <x:c r="I23" s="34" t="str">
        <x:v>Provider contract / implementation cost; public unit rate unavailable</x:v>
      </x:c>
      <x:c r="J23" s="34" t="str">
        <x:v>Enterprise only; obtain vendor quote, add support/risk reserve and target margin</x:v>
      </x:c>
      <x:c r="K23" s="34" t="str">
        <x:v>Requires a qualifying Cloudflare zone plan and managed WAF provisioning.</x:v>
      </x:c>
    </x:row>
    <x:row r="24">
      <x:c r="A24" s="34" t="str">
        <x:v>Multivrs Firewall</x:v>
      </x:c>
      <x:c r="B24" s="34" t="str">
        <x:v>Bot Management</x:v>
      </x:c>
      <x:c r="C24" s="34" t="str">
        <x:v>Automated DDoS Mitigation</x:v>
      </x:c>
      <x:c r="D24" s="34" t="str">
        <x:v>available</x:v>
      </x:c>
      <x:c r="E24" s="34" t="str">
        <x:v>Included</x:v>
      </x:c>
      <x:c r="F24" s="34" t="str">
        <x:v>Included</x:v>
      </x:c>
      <x:c r="G24" s="34" t="str">
        <x:v>Included</x:v>
      </x:c>
      <x:c r="H24" s="34" t="str">
        <x:v>none</x:v>
      </x:c>
      <x:c r="I24" s="34" t="str">
        <x:v>Included platform capability</x:v>
      </x:c>
      <x:c r="J24" s="34" t="str">
        <x:v>Include in base plan; no separate usage line</x:v>
      </x:c>
      <x:c r="K24" s="34" t="str"/>
    </x:row>
    <x:row r="25">
      <x:c r="A25" s="34" t="str">
        <x:v>Multivrs Firewall</x:v>
      </x:c>
      <x:c r="B25" s="34" t="str">
        <x:v>Bot Management</x:v>
      </x:c>
      <x:c r="C25" s="34" t="str">
        <x:v>AI Bots (managed ruleset)</x:v>
      </x:c>
      <x:c r="D25" s="34" t="str">
        <x:v>infrastructureRequired</x:v>
      </x:c>
      <x:c r="E25" s="34" t="str">
        <x:v>Not included</x:v>
      </x:c>
      <x:c r="F25" s="34" t="str">
        <x:v>Not included</x:v>
      </x:c>
      <x:c r="G25" s="34" t="str">
        <x:v>Not included</x:v>
      </x:c>
      <x:c r="H25" s="34" t="str">
        <x:v>none</x:v>
      </x:c>
      <x:c r="I25" s="34" t="str">
        <x:v>Provider contract / implementation cost; public unit rate unavailable</x:v>
      </x:c>
      <x:c r="J25" s="34" t="str">
        <x:v>Enterprise only; obtain vendor quote, add support/risk reserve and target margin</x:v>
      </x:c>
      <x:c r="K25" s="34" t="str"/>
    </x:row>
    <x:row r="26">
      <x:c r="A26" s="34" t="str">
        <x:v>Multivrs Firewall</x:v>
      </x:c>
      <x:c r="B26" s="34" t="str">
        <x:v>Bot Management</x:v>
      </x:c>
      <x:c r="C26" s="34" t="str">
        <x:v>Bot Protection (managed ruleset)</x:v>
      </x:c>
      <x:c r="D26" s="34" t="str">
        <x:v>preview</x:v>
      </x:c>
      <x:c r="E26" s="34" t="str">
        <x:v>Basic checks</x:v>
      </x:c>
      <x:c r="F26" s="34" t="str">
        <x:v>Included</x:v>
      </x:c>
      <x:c r="G26" s="34" t="str">
        <x:v>Included</x:v>
      </x:c>
      <x:c r="H26" s="34" t="str">
        <x:v>none</x:v>
      </x:c>
      <x:c r="I26" s="34" t="str">
        <x:v>Included platform capability</x:v>
      </x:c>
      <x:c r="J26" s="34" t="str">
        <x:v>Include in base plan; no separate usage line</x:v>
      </x:c>
      <x:c r="K26" s="34" t="str"/>
    </x:row>
    <x:row r="27">
      <x:c r="A27" s="34" t="str">
        <x:v>Multivrs Firewall</x:v>
      </x:c>
      <x:c r="B27" s="34" t="str">
        <x:v>Bot Management</x:v>
      </x:c>
      <x:c r="C27" s="34" t="str">
        <x:v>BotID</x:v>
      </x:c>
      <x:c r="D27" s="34" t="str">
        <x:v>infrastructureRequired</x:v>
      </x:c>
      <x:c r="E27" s="34" t="str">
        <x:v>Not included</x:v>
      </x:c>
      <x:c r="F27" s="34" t="str">
        <x:v>Not included</x:v>
      </x:c>
      <x:c r="G27" s="34" t="str">
        <x:v>Not included</x:v>
      </x:c>
      <x:c r="H27" s="34" t="str">
        <x:v>none</x:v>
      </x:c>
      <x:c r="I27" s="34" t="str">
        <x:v>Provider contract / implementation cost; public unit rate unavailable</x:v>
      </x:c>
      <x:c r="J27" s="34" t="str">
        <x:v>Enterprise only; obtain vendor quote, add support/risk reserve and target margin</x:v>
      </x:c>
      <x:c r="K27" s="34" t="str">
        <x:v>Granular bot scores require Cloudflare Bot Management entitlement.</x:v>
      </x:c>
    </x:row>
    <x:row r="28">
      <x:c r="A28" s="34" t="str">
        <x:v>Multivrs Firewall</x:v>
      </x:c>
      <x:c r="B28" s="34" t="str">
        <x:v>Bot Management</x:v>
      </x:c>
      <x:c r="C28" s="34" t="str">
        <x:v>Attack Challenge Mode</x:v>
      </x:c>
      <x:c r="D28" s="34" t="str">
        <x:v>preview</x:v>
      </x:c>
      <x:c r="E28" s="34" t="str">
        <x:v>Included</x:v>
      </x:c>
      <x:c r="F28" s="34" t="str">
        <x:v>Included</x:v>
      </x:c>
      <x:c r="G28" s="34" t="str">
        <x:v>Included</x:v>
      </x:c>
      <x:c r="H28" s="34" t="str">
        <x:v>none</x:v>
      </x:c>
      <x:c r="I28" s="34" t="str">
        <x:v>Included platform capability</x:v>
      </x:c>
      <x:c r="J28" s="34" t="str">
        <x:v>Include in base plan; no separate usage line</x:v>
      </x:c>
      <x:c r="K28" s="34" t="str"/>
    </x:row>
    <x:row r="29">
      <x:c r="A29" s="34" t="str">
        <x:v>Content, Caching &amp; Optimization</x:v>
      </x:c>
      <x:c r="B29" s="34" t="str">
        <x:v>Content Delivery</x:v>
      </x:c>
      <x:c r="C29" s="34" t="str">
        <x:v>Zero-config CDN Cache</x:v>
      </x:c>
      <x:c r="D29" s="34" t="str">
        <x:v>available</x:v>
      </x:c>
      <x:c r="E29" s="34" t="str">
        <x:v>Included</x:v>
      </x:c>
      <x:c r="F29" s="34" t="str">
        <x:v>Included</x:v>
      </x:c>
      <x:c r="G29" s="34" t="str">
        <x:v>Included</x:v>
      </x:c>
      <x:c r="H29" s="34" t="str">
        <x:v>none</x:v>
      </x:c>
      <x:c r="I29" s="34" t="str">
        <x:v>Included platform capability</x:v>
      </x:c>
      <x:c r="J29" s="34" t="str">
        <x:v>Include in base plan; no separate usage line</x:v>
      </x:c>
      <x:c r="K29" s="34" t="str"/>
    </x:row>
    <x:row r="30">
      <x:c r="A30" s="34" t="str">
        <x:v>Content, Caching &amp; Optimization</x:v>
      </x:c>
      <x:c r="B30" s="34" t="str">
        <x:v>Content Delivery</x:v>
      </x:c>
      <x:c r="C30" s="34" t="str">
        <x:v>Automated Compression</x:v>
      </x:c>
      <x:c r="D30" s="34" t="str">
        <x:v>available</x:v>
      </x:c>
      <x:c r="E30" s="34" t="str">
        <x:v>Included</x:v>
      </x:c>
      <x:c r="F30" s="34" t="str">
        <x:v>Included</x:v>
      </x:c>
      <x:c r="G30" s="34" t="str">
        <x:v>Included</x:v>
      </x:c>
      <x:c r="H30" s="34" t="str">
        <x:v>none</x:v>
      </x:c>
      <x:c r="I30" s="34" t="str">
        <x:v>Included platform capability</x:v>
      </x:c>
      <x:c r="J30" s="34" t="str">
        <x:v>Include in base plan; no separate usage line</x:v>
      </x:c>
      <x:c r="K30" s="34" t="str"/>
    </x:row>
    <x:row r="31">
      <x:c r="A31" s="34" t="str">
        <x:v>Content, Caching &amp; Optimization</x:v>
      </x:c>
      <x:c r="B31" s="34" t="str">
        <x:v>Content Delivery</x:v>
      </x:c>
      <x:c r="C31" s="34" t="str">
        <x:v>Background Revalidation</x:v>
      </x:c>
      <x:c r="D31" s="34" t="str">
        <x:v>available</x:v>
      </x:c>
      <x:c r="E31" s="34" t="str">
        <x:v>Included</x:v>
      </x:c>
      <x:c r="F31" s="34" t="str">
        <x:v>Included</x:v>
      </x:c>
      <x:c r="G31" s="34" t="str">
        <x:v>Included</x:v>
      </x:c>
      <x:c r="H31" s="34" t="str">
        <x:v>none</x:v>
      </x:c>
      <x:c r="I31" s="34" t="str">
        <x:v>Included platform capability</x:v>
      </x:c>
      <x:c r="J31" s="34" t="str">
        <x:v>Include in base plan; no separate usage line</x:v>
      </x:c>
      <x:c r="K31" s="34" t="str"/>
    </x:row>
    <x:row r="32">
      <x:c r="A32" s="34" t="str">
        <x:v>Content, Caching &amp; Optimization</x:v>
      </x:c>
      <x:c r="B32" s="34" t="str">
        <x:v>Content Delivery</x:v>
      </x:c>
      <x:c r="C32" s="34" t="str">
        <x:v>Stale-While-Revalidate</x:v>
      </x:c>
      <x:c r="D32" s="34" t="str">
        <x:v>available</x:v>
      </x:c>
      <x:c r="E32" s="34" t="str">
        <x:v>Included</x:v>
      </x:c>
      <x:c r="F32" s="34" t="str">
        <x:v>Included</x:v>
      </x:c>
      <x:c r="G32" s="34" t="str">
        <x:v>Included</x:v>
      </x:c>
      <x:c r="H32" s="34" t="str">
        <x:v>none</x:v>
      </x:c>
      <x:c r="I32" s="34" t="str">
        <x:v>Included platform capability</x:v>
      </x:c>
      <x:c r="J32" s="34" t="str">
        <x:v>Include in base plan; no separate usage line</x:v>
      </x:c>
      <x:c r="K32" s="34" t="str"/>
    </x:row>
    <x:row r="33">
      <x:c r="A33" s="34" t="str">
        <x:v>Content, Caching &amp; Optimization</x:v>
      </x:c>
      <x:c r="B33" s="34" t="str">
        <x:v>Incremental Static Regeneration (ISR)</x:v>
      </x:c>
      <x:c r="C33" s="34" t="str">
        <x:v>ISR Reads</x:v>
      </x:c>
      <x:c r="D33" s="34" t="str">
        <x:v>available</x:v>
      </x:c>
      <x:c r="E33" s="34" t="str">
        <x:v>100K / month included — hard limit</x:v>
      </x:c>
      <x:c r="F33" s="34" t="str">
        <x:v>1M / month included — then $1 per 1M</x:v>
      </x:c>
      <x:c r="G33" s="34" t="str">
        <x:v>Custom</x:v>
      </x:c>
      <x:c r="H33" s="34" t="str">
        <x:v>r2_class_b</x:v>
      </x:c>
      <x:c r="I33" s="34" t="str">
        <x:v>Cloudflare R2 — $0.36 per 1M operations</x:v>
      </x:c>
      <x:c r="J33" s="34" t="str">
        <x:v>$1 per 1M operations</x:v>
      </x:c>
      <x:c r="K33" s="34" t="str"/>
    </x:row>
    <x:row r="34">
      <x:c r="A34" s="34" t="str">
        <x:v>Content, Caching &amp; Optimization</x:v>
      </x:c>
      <x:c r="B34" s="34" t="str">
        <x:v>Incremental Static Regeneration (ISR)</x:v>
      </x:c>
      <x:c r="C34" s="34" t="str">
        <x:v>ISR Writes</x:v>
      </x:c>
      <x:c r="D34" s="34" t="str">
        <x:v>available</x:v>
      </x:c>
      <x:c r="E34" s="34" t="str">
        <x:v>10K / month included — hard limit</x:v>
      </x:c>
      <x:c r="F34" s="34" t="str">
        <x:v>100K / month included — then $10 per 1M</x:v>
      </x:c>
      <x:c r="G34" s="34" t="str">
        <x:v>Custom</x:v>
      </x:c>
      <x:c r="H34" s="34" t="str">
        <x:v>r2_class_a</x:v>
      </x:c>
      <x:c r="I34" s="34" t="str">
        <x:v>Cloudflare R2 — $4.5 per 1M operations</x:v>
      </x:c>
      <x:c r="J34" s="34" t="str">
        <x:v>$10 per 1M operations</x:v>
      </x:c>
      <x:c r="K34" s="34" t="str"/>
    </x:row>
    <x:row r="35">
      <x:c r="A35" s="34" t="str">
        <x:v>Content, Caching &amp; Optimization</x:v>
      </x:c>
      <x:c r="B35" s="34" t="str">
        <x:v>Direct feature</x:v>
      </x:c>
      <x:c r="C35" s="34" t="str">
        <x:v>Bulk Redirects</x:v>
      </x:c>
      <x:c r="D35" s="34" t="str">
        <x:v>available</x:v>
      </x:c>
      <x:c r="E35" s="34" t="str">
        <x:v>100 per project</x:v>
      </x:c>
      <x:c r="F35" s="34" t="str">
        <x:v>1K per project</x:v>
      </x:c>
      <x:c r="G35" s="34" t="str">
        <x:v>Custom</x:v>
      </x:c>
      <x:c r="H35" s="34" t="str">
        <x:v>bulk_redirect_25k</x:v>
      </x:c>
      <x:c r="I35" s="34" t="str">
        <x:v>Cloudflare KV — $0.125 per 25K redirects</x:v>
      </x:c>
      <x:c r="J35" s="34" t="str">
        <x:v>$50 per 25K redirects</x:v>
      </x:c>
      <x:c r="K35" s="34" t="str"/>
    </x:row>
    <x:row r="36">
      <x:c r="A36" s="34" t="str">
        <x:v>Content, Caching &amp; Optimization</x:v>
      </x:c>
      <x:c r="B36" s="34" t="str">
        <x:v>Blob</x:v>
      </x:c>
      <x:c r="C36" s="34" t="str">
        <x:v>Storage Size</x:v>
      </x:c>
      <x:c r="D36" s="34" t="str">
        <x:v>available</x:v>
      </x:c>
      <x:c r="E36" s="34" t="str">
        <x:v>1 GB included — hard limit</x:v>
      </x:c>
      <x:c r="F36" s="34" t="str">
        <x:v>5 GB included — then $0.04 per GB-month</x:v>
      </x:c>
      <x:c r="G36" s="34" t="str">
        <x:v>Custom</x:v>
      </x:c>
      <x:c r="H36" s="34" t="str">
        <x:v>r2_storage</x:v>
      </x:c>
      <x:c r="I36" s="34" t="str">
        <x:v>Cloudflare R2 — $0.015 per GB-month</x:v>
      </x:c>
      <x:c r="J36" s="34" t="str">
        <x:v>$0.04 per GB-month</x:v>
      </x:c>
      <x:c r="K36" s="34" t="str"/>
    </x:row>
    <x:row r="37">
      <x:c r="A37" s="34" t="str">
        <x:v>Content, Caching &amp; Optimization</x:v>
      </x:c>
      <x:c r="B37" s="34" t="str">
        <x:v>Blob</x:v>
      </x:c>
      <x:c r="C37" s="34" t="str">
        <x:v>Simple Operations</x:v>
      </x:c>
      <x:c r="D37" s="34" t="str">
        <x:v>available</x:v>
      </x:c>
      <x:c r="E37" s="34" t="str">
        <x:v>100K / month included — hard limit</x:v>
      </x:c>
      <x:c r="F37" s="34" t="str">
        <x:v>1M / month included — then $1 per 1M</x:v>
      </x:c>
      <x:c r="G37" s="34" t="str">
        <x:v>Custom</x:v>
      </x:c>
      <x:c r="H37" s="34" t="str">
        <x:v>r2_class_b</x:v>
      </x:c>
      <x:c r="I37" s="34" t="str">
        <x:v>Cloudflare R2 — $0.36 per 1M operations</x:v>
      </x:c>
      <x:c r="J37" s="34" t="str">
        <x:v>$1 per 1M operations</x:v>
      </x:c>
      <x:c r="K37" s="34" t="str"/>
    </x:row>
    <x:row r="38">
      <x:c r="A38" s="34" t="str">
        <x:v>Content, Caching &amp; Optimization</x:v>
      </x:c>
      <x:c r="B38" s="34" t="str">
        <x:v>Blob</x:v>
      </x:c>
      <x:c r="C38" s="34" t="str">
        <x:v>Advanced Operations</x:v>
      </x:c>
      <x:c r="D38" s="34" t="str">
        <x:v>available</x:v>
      </x:c>
      <x:c r="E38" s="34" t="str">
        <x:v>10K / month included — hard limit</x:v>
      </x:c>
      <x:c r="F38" s="34" t="str">
        <x:v>100K / month included — then $10 per 1M</x:v>
      </x:c>
      <x:c r="G38" s="34" t="str">
        <x:v>Custom</x:v>
      </x:c>
      <x:c r="H38" s="34" t="str">
        <x:v>r2_class_a</x:v>
      </x:c>
      <x:c r="I38" s="34" t="str">
        <x:v>Cloudflare R2 — $4.5 per 1M operations</x:v>
      </x:c>
      <x:c r="J38" s="34" t="str">
        <x:v>$10 per 1M operations</x:v>
      </x:c>
      <x:c r="K38" s="34" t="str"/>
    </x:row>
    <x:row r="39">
      <x:c r="A39" s="34" t="str">
        <x:v>Content, Caching &amp; Optimization</x:v>
      </x:c>
      <x:c r="B39" s="34" t="str">
        <x:v>Blob</x:v>
      </x:c>
      <x:c r="C39" s="34" t="str">
        <x:v>Blob Data Transfer</x:v>
      </x:c>
      <x:c r="D39" s="34" t="str">
        <x:v>available</x:v>
      </x:c>
      <x:c r="E39" s="34" t="str">
        <x:v>5 GB / month included — hard limit</x:v>
      </x:c>
      <x:c r="F39" s="34" t="str">
        <x:v>50 GB / month included — then $0.10 per GB</x:v>
      </x:c>
      <x:c r="G39" s="34" t="str">
        <x:v>Custom</x:v>
      </x:c>
      <x:c r="H39" s="34" t="str">
        <x:v>none</x:v>
      </x:c>
      <x:c r="I39" s="34" t="str">
        <x:v>Included platform capability</x:v>
      </x:c>
      <x:c r="J39" s="34" t="str">
        <x:v>Include in base plan; no separate usage line</x:v>
      </x:c>
      <x:c r="K39" s="34" t="str"/>
    </x:row>
    <x:row r="40">
      <x:c r="A40" s="34" t="str">
        <x:v>Content, Caching &amp; Optimization</x:v>
      </x:c>
      <x:c r="B40" s="34" t="str">
        <x:v>Image Optimization</x:v>
      </x:c>
      <x:c r="C40" s="34" t="str">
        <x:v>Image Transformations</x:v>
      </x:c>
      <x:c r="D40" s="34" t="str">
        <x:v>available</x:v>
      </x:c>
      <x:c r="E40" s="34" t="str">
        <x:v>100 / month included — hard limit</x:v>
      </x:c>
      <x:c r="F40" s="34" t="str">
        <x:v>1K / month included — then $1 per 1K</x:v>
      </x:c>
      <x:c r="G40" s="34" t="str">
        <x:v>Custom</x:v>
      </x:c>
      <x:c r="H40" s="34" t="str">
        <x:v>image_transforms</x:v>
      </x:c>
      <x:c r="I40" s="34" t="str">
        <x:v>Cloudflare Images — $0.5 per 1K unique transforms</x:v>
      </x:c>
      <x:c r="J40" s="34" t="str">
        <x:v>$1 per 1K unique transforms</x:v>
      </x:c>
      <x:c r="K40" s="34" t="str"/>
    </x:row>
    <x:row r="41">
      <x:c r="A41" s="34" t="str">
        <x:v>Content, Caching &amp; Optimization</x:v>
      </x:c>
      <x:c r="B41" s="34" t="str">
        <x:v>Image Optimization</x:v>
      </x:c>
      <x:c r="C41" s="34" t="str">
        <x:v>Image Cache Reads</x:v>
      </x:c>
      <x:c r="D41" s="34" t="str">
        <x:v>available</x:v>
      </x:c>
      <x:c r="E41" s="34" t="str">
        <x:v>100K / month included — hard limit</x:v>
      </x:c>
      <x:c r="F41" s="34" t="str">
        <x:v>1M / month included — then $1 per 1M</x:v>
      </x:c>
      <x:c r="G41" s="34" t="str">
        <x:v>Custom</x:v>
      </x:c>
      <x:c r="H41" s="34" t="str">
        <x:v>r2_class_b</x:v>
      </x:c>
      <x:c r="I41" s="34" t="str">
        <x:v>Cloudflare R2 — $0.36 per 1M operations</x:v>
      </x:c>
      <x:c r="J41" s="34" t="str">
        <x:v>$1 per 1M operations</x:v>
      </x:c>
      <x:c r="K41" s="34" t="str"/>
    </x:row>
    <x:row r="42">
      <x:c r="A42" s="34" t="str">
        <x:v>Content, Caching &amp; Optimization</x:v>
      </x:c>
      <x:c r="B42" s="34" t="str">
        <x:v>Image Optimization</x:v>
      </x:c>
      <x:c r="C42" s="34" t="str">
        <x:v>Image Cache Writes</x:v>
      </x:c>
      <x:c r="D42" s="34" t="str">
        <x:v>available</x:v>
      </x:c>
      <x:c r="E42" s="34" t="str">
        <x:v>10K / month included — hard limit</x:v>
      </x:c>
      <x:c r="F42" s="34" t="str">
        <x:v>100K / month included — then $10 per 1M</x:v>
      </x:c>
      <x:c r="G42" s="34" t="str">
        <x:v>Custom</x:v>
      </x:c>
      <x:c r="H42" s="34" t="str">
        <x:v>r2_class_a</x:v>
      </x:c>
      <x:c r="I42" s="34" t="str">
        <x:v>Cloudflare R2 — $4.5 per 1M operations</x:v>
      </x:c>
      <x:c r="J42" s="34" t="str">
        <x:v>$10 per 1M operations</x:v>
      </x:c>
      <x:c r="K42" s="34" t="str"/>
    </x:row>
    <x:row r="43">
      <x:c r="A43" s="34" t="str">
        <x:v>Content, Caching &amp; Optimization</x:v>
      </x:c>
      <x:c r="B43" s="34" t="str">
        <x:v>Edge Config</x:v>
      </x:c>
      <x:c r="C43" s="34" t="str">
        <x:v>Edge Config Reads</x:v>
      </x:c>
      <x:c r="D43" s="34" t="str">
        <x:v>available</x:v>
      </x:c>
      <x:c r="E43" s="34" t="str">
        <x:v>100K / month included — hard limit</x:v>
      </x:c>
      <x:c r="F43" s="34" t="str">
        <x:v>1M / month included — then $1.50 per 1M</x:v>
      </x:c>
      <x:c r="G43" s="34" t="str">
        <x:v>Custom</x:v>
      </x:c>
      <x:c r="H43" s="34" t="str">
        <x:v>kv_reads</x:v>
      </x:c>
      <x:c r="I43" s="34" t="str">
        <x:v>Cloudflare KV — $0.5 per 1M reads</x:v>
      </x:c>
      <x:c r="J43" s="34" t="str">
        <x:v>$1.5 per 1M reads</x:v>
      </x:c>
      <x:c r="K43" s="34" t="str"/>
    </x:row>
    <x:row r="44">
      <x:c r="A44" s="34" t="str">
        <x:v>Content, Caching &amp; Optimization</x:v>
      </x:c>
      <x:c r="B44" s="34" t="str">
        <x:v>Edge Config</x:v>
      </x:c>
      <x:c r="C44" s="34" t="str">
        <x:v>Edge Config Writes</x:v>
      </x:c>
      <x:c r="D44" s="34" t="str">
        <x:v>available</x:v>
      </x:c>
      <x:c r="E44" s="34" t="str">
        <x:v>1K / month included — hard limit</x:v>
      </x:c>
      <x:c r="F44" s="34" t="str">
        <x:v>10K / month included — then $12 per 1M</x:v>
      </x:c>
      <x:c r="G44" s="34" t="str">
        <x:v>Custom</x:v>
      </x:c>
      <x:c r="H44" s="34" t="str">
        <x:v>kv_writes</x:v>
      </x:c>
      <x:c r="I44" s="34" t="str">
        <x:v>Cloudflare KV — $5 per 1M writes</x:v>
      </x:c>
      <x:c r="J44" s="34" t="str">
        <x:v>$12 per 1M writes</x:v>
      </x:c>
      <x:c r="K44" s="34" t="str"/>
    </x:row>
    <x:row r="45">
      <x:c r="A45" s="34" t="str">
        <x:v>Content, Caching &amp; Optimization</x:v>
      </x:c>
      <x:c r="B45" s="34" t="str">
        <x:v>Microfrontends Support</x:v>
      </x:c>
      <x:c r="C45" s="34" t="str">
        <x:v>Microfrontends</x:v>
      </x:c>
      <x:c r="D45" s="34" t="str">
        <x:v>available</x:v>
      </x:c>
      <x:c r="E45" s="34" t="str">
        <x:v>1 included project</x:v>
      </x:c>
      <x:c r="F45" s="34" t="str">
        <x:v>3 included projects — then $10 per additional project</x:v>
      </x:c>
      <x:c r="G45" s="34" t="str">
        <x:v>Custom</x:v>
      </x:c>
      <x:c r="H45" s="34" t="str">
        <x:v>none</x:v>
      </x:c>
      <x:c r="I45" s="34" t="str">
        <x:v>Included platform capability</x:v>
      </x:c>
      <x:c r="J45" s="34" t="str">
        <x:v>Include in base plan; no separate usage line</x:v>
      </x:c>
      <x:c r="K45" s="34" t="str"/>
    </x:row>
    <x:row r="46">
      <x:c r="A46" s="34" t="str">
        <x:v>Content, Caching &amp; Optimization</x:v>
      </x:c>
      <x:c r="B46" s="34" t="str">
        <x:v>Microfrontends Support</x:v>
      </x:c>
      <x:c r="C46" s="34" t="str">
        <x:v>Microfrontend Routing</x:v>
      </x:c>
      <x:c r="D46" s="34" t="str">
        <x:v>available</x:v>
      </x:c>
      <x:c r="E46" s="34" t="str">
        <x:v>50K routed requests — hard limit</x:v>
      </x:c>
      <x:c r="F46" s="34" t="str">
        <x:v>500K routed requests — then $1 per 1M</x:v>
      </x:c>
      <x:c r="G46" s="34" t="str">
        <x:v>Custom</x:v>
      </x:c>
      <x:c r="H46" s="34" t="str">
        <x:v>edge_requests</x:v>
      </x:c>
      <x:c r="I46" s="34" t="str">
        <x:v>Cloudflare Workers — $0.3 per 1M requests</x:v>
      </x:c>
      <x:c r="J46" s="34" t="str">
        <x:v>$1 per 1M requests</x:v>
      </x:c>
      <x:c r="K46" s="34" t="str"/>
    </x:row>
    <x:row r="47">
      <x:c r="A47" s="34" t="str">
        <x:v>Multivrs Compute</x:v>
      </x:c>
      <x:c r="B47" s="34" t="str">
        <x:v>Multivrs Functions</x:v>
      </x:c>
      <x:c r="C47" s="34" t="str">
        <x:v>Active CPU</x:v>
      </x:c>
      <x:c r="D47" s="34" t="str">
        <x:v>preview</x:v>
      </x:c>
      <x:c r="E47" s="34" t="str">
        <x:v>15 min included — Preview · hard limit</x:v>
      </x:c>
      <x:c r="F47" s="34" t="str">
        <x:v>2 vCPU-hours included — then $0.18 per vCPU-hour</x:v>
      </x:c>
      <x:c r="G47" s="34" t="str">
        <x:v>Custom</x:v>
      </x:c>
      <x:c r="H47" s="34" t="str">
        <x:v>workers_cpu</x:v>
      </x:c>
      <x:c r="I47" s="34" t="str">
        <x:v>Cloudflare Workers — $0.02 per 1M CPU ms</x:v>
      </x:c>
      <x:c r="J47" s="34" t="str">
        <x:v>$0.06 per 1M CPU ms</x:v>
      </x:c>
      <x:c r="K47" s="34" t="str"/>
    </x:row>
    <x:row r="48">
      <x:c r="A48" s="34" t="str">
        <x:v>Multivrs Compute</x:v>
      </x:c>
      <x:c r="B48" s="34" t="str">
        <x:v>Multivrs Functions</x:v>
      </x:c>
      <x:c r="C48" s="34" t="str">
        <x:v>Provisioned Memory</x:v>
      </x:c>
      <x:c r="D48" s="34" t="str">
        <x:v>preview</x:v>
      </x:c>
      <x:c r="E48" s="34" t="str">
        <x:v>1 GiB-hour included — Preview · hard limit</x:v>
      </x:c>
      <x:c r="F48" s="34" t="str">
        <x:v>8 GiB-hours included — then $0.03 per GiB-hour</x:v>
      </x:c>
      <x:c r="G48" s="34" t="str">
        <x:v>Custom</x:v>
      </x:c>
      <x:c r="H48" s="34" t="str">
        <x:v>function_memory</x:v>
      </x:c>
      <x:c r="I48" s="34" t="str">
        <x:v>Cloudflare Containers — $0.009 per GiB-hour</x:v>
      </x:c>
      <x:c r="J48" s="34" t="str">
        <x:v>$0.025 per GiB-hour</x:v>
      </x:c>
      <x:c r="K48" s="34" t="str"/>
    </x:row>
    <x:row r="49">
      <x:c r="A49" s="34" t="str">
        <x:v>Multivrs Compute</x:v>
      </x:c>
      <x:c r="B49" s="34" t="str">
        <x:v>Multivrs Functions</x:v>
      </x:c>
      <x:c r="C49" s="34" t="str">
        <x:v>Invocations</x:v>
      </x:c>
      <x:c r="D49" s="34" t="str">
        <x:v>available</x:v>
      </x:c>
      <x:c r="E49" s="34" t="str">
        <x:v>100K / month included — hard limit</x:v>
      </x:c>
      <x:c r="F49" s="34" t="str">
        <x:v>1M / month included — then $1 per 1M</x:v>
      </x:c>
      <x:c r="G49" s="34" t="str">
        <x:v>Custom</x:v>
      </x:c>
      <x:c r="H49" s="34" t="str">
        <x:v>edge_requests</x:v>
      </x:c>
      <x:c r="I49" s="34" t="str">
        <x:v>Cloudflare Workers — $0.3 per 1M requests</x:v>
      </x:c>
      <x:c r="J49" s="34" t="str">
        <x:v>$1 per 1M requests</x:v>
      </x:c>
      <x:c r="K49" s="34" t="str"/>
    </x:row>
    <x:row r="50">
      <x:c r="A50" s="34" t="str">
        <x:v>Multivrs Compute</x:v>
      </x:c>
      <x:c r="B50" s="34" t="str">
        <x:v>Multivrs Functions</x:v>
      </x:c>
      <x:c r="C50" s="34" t="str">
        <x:v>Multivrs Services</x:v>
      </x:c>
      <x:c r="D50" s="34" t="str">
        <x:v>available</x:v>
      </x:c>
      <x:c r="E50" s="34" t="str">
        <x:v>1 service</x:v>
      </x:c>
      <x:c r="F50" s="34" t="str">
        <x:v>Up to 5 services</x:v>
      </x:c>
      <x:c r="G50" s="34" t="str">
        <x:v>Custom</x:v>
      </x:c>
      <x:c r="H50" s="34" t="str">
        <x:v>none</x:v>
      </x:c>
      <x:c r="I50" s="34" t="str">
        <x:v>Included platform capability</x:v>
      </x:c>
      <x:c r="J50" s="34" t="str">
        <x:v>Include in base plan; no separate usage line</x:v>
      </x:c>
      <x:c r="K50" s="34" t="str"/>
    </x:row>
    <x:row r="51">
      <x:c r="A51" s="34" t="str">
        <x:v>Multivrs Compute</x:v>
      </x:c>
      <x:c r="B51" s="34" t="str">
        <x:v>Multivrs Sandbox</x:v>
      </x:c>
      <x:c r="C51" s="34" t="str">
        <x:v>Active CPU</x:v>
      </x:c>
      <x:c r="D51" s="34" t="str">
        <x:v>preview</x:v>
      </x:c>
      <x:c r="E51" s="34" t="str">
        <x:v>15 min included — Preview · hard limit</x:v>
      </x:c>
      <x:c r="F51" s="34" t="str">
        <x:v>1 vCPU-hour included — then $0.18 per vCPU-hour</x:v>
      </x:c>
      <x:c r="G51" s="34" t="str">
        <x:v>Custom</x:v>
      </x:c>
      <x:c r="H51" s="34" t="str">
        <x:v>container_cpu</x:v>
      </x:c>
      <x:c r="I51" s="34" t="str">
        <x:v>Cloudflare Containers — $0.072 per vCPU-hour</x:v>
      </x:c>
      <x:c r="J51" s="34" t="str">
        <x:v>$0.18 per vCPU-hour</x:v>
      </x:c>
      <x:c r="K51" s="34" t="str"/>
    </x:row>
    <x:row r="52">
      <x:c r="A52" s="34" t="str">
        <x:v>Multivrs Compute</x:v>
      </x:c>
      <x:c r="B52" s="34" t="str">
        <x:v>Multivrs Sandbox</x:v>
      </x:c>
      <x:c r="C52" s="34" t="str">
        <x:v>Provisioned Memory</x:v>
      </x:c>
      <x:c r="D52" s="34" t="str">
        <x:v>preview</x:v>
      </x:c>
      <x:c r="E52" s="34" t="str">
        <x:v>1 GiB-hour included — Preview · hard limit</x:v>
      </x:c>
      <x:c r="F52" s="34" t="str">
        <x:v>4 GiB-hours included — then $0.03 per GiB-hour</x:v>
      </x:c>
      <x:c r="G52" s="34" t="str">
        <x:v>Custom</x:v>
      </x:c>
      <x:c r="H52" s="34" t="str">
        <x:v>container_memory</x:v>
      </x:c>
      <x:c r="I52" s="34" t="str">
        <x:v>Cloudflare Containers — $0.009 per GiB-hour</x:v>
      </x:c>
      <x:c r="J52" s="34" t="str">
        <x:v>$0.025 per GiB-hour</x:v>
      </x:c>
      <x:c r="K52" s="34" t="str"/>
    </x:row>
    <x:row r="53">
      <x:c r="A53" s="34" t="str">
        <x:v>Multivrs Compute</x:v>
      </x:c>
      <x:c r="B53" s="34" t="str">
        <x:v>Multivrs Sandbox</x:v>
      </x:c>
      <x:c r="C53" s="34" t="str">
        <x:v>Creation</x:v>
      </x:c>
      <x:c r="D53" s="34" t="str">
        <x:v>available</x:v>
      </x:c>
      <x:c r="E53" s="34" t="str">
        <x:v>5 / month included — hard limit</x:v>
      </x:c>
      <x:c r="F53" s="34" t="str">
        <x:v>25 / month included — then $1 per 100</x:v>
      </x:c>
      <x:c r="G53" s="34" t="str">
        <x:v>Custom</x:v>
      </x:c>
      <x:c r="H53" s="34" t="str">
        <x:v>sandbox_creation</x:v>
      </x:c>
      <x:c r="I53" s="34" t="str">
        <x:v>Cloudflare Containers — $0 direct</x:v>
      </x:c>
      <x:c r="J53" s="34" t="str">
        <x:v>$1 per 100 creations</x:v>
      </x:c>
      <x:c r="K53" s="34" t="str"/>
    </x:row>
    <x:row r="54">
      <x:c r="A54" s="34" t="str">
        <x:v>Multivrs Compute</x:v>
      </x:c>
      <x:c r="B54" s="34" t="str">
        <x:v>Multivrs Sandbox</x:v>
      </x:c>
      <x:c r="C54" s="34" t="str">
        <x:v>Network</x:v>
      </x:c>
      <x:c r="D54" s="34" t="str">
        <x:v>preview</x:v>
      </x:c>
      <x:c r="E54" s="34" t="str">
        <x:v>1 GB included — Preview · hard limit</x:v>
      </x:c>
      <x:c r="F54" s="34" t="str">
        <x:v>10 GB included — then $0.10 per GB</x:v>
      </x:c>
      <x:c r="G54" s="34" t="str">
        <x:v>Custom</x:v>
      </x:c>
      <x:c r="H54" s="34" t="str">
        <x:v>container_egress</x:v>
      </x:c>
      <x:c r="I54" s="34" t="str">
        <x:v>Cloudflare Containers — $0.05 per GB egress</x:v>
      </x:c>
      <x:c r="J54" s="34" t="str">
        <x:v>$0.1 per GB egress</x:v>
      </x:c>
      <x:c r="K54" s="34" t="str"/>
    </x:row>
    <x:row r="55">
      <x:c r="A55" s="34" t="str">
        <x:v>Multivrs Compute</x:v>
      </x:c>
      <x:c r="B55" s="34" t="str">
        <x:v>Multivrs Sandbox</x:v>
      </x:c>
      <x:c r="C55" s="34" t="str">
        <x:v>Concurrent Sandboxes</x:v>
      </x:c>
      <x:c r="D55" s="34" t="str">
        <x:v>available</x:v>
      </x:c>
      <x:c r="E55" s="34" t="str">
        <x:v>1</x:v>
      </x:c>
      <x:c r="F55" s="34" t="str">
        <x:v>2</x:v>
      </x:c>
      <x:c r="G55" s="34" t="str">
        <x:v>Custom</x:v>
      </x:c>
      <x:c r="H55" s="34" t="str">
        <x:v>none</x:v>
      </x:c>
      <x:c r="I55" s="34" t="str">
        <x:v>Included platform capability</x:v>
      </x:c>
      <x:c r="J55" s="34" t="str">
        <x:v>Include in base plan; no separate usage line</x:v>
      </x:c>
      <x:c r="K55" s="34" t="str"/>
    </x:row>
    <x:row r="56">
      <x:c r="A56" s="34" t="str">
        <x:v>Multivrs Compute</x:v>
      </x:c>
      <x:c r="B56" s="34" t="str">
        <x:v>Multivrs Sandbox</x:v>
      </x:c>
      <x:c r="C56" s="34" t="str">
        <x:v>Snapshot Storage</x:v>
      </x:c>
      <x:c r="D56" s="34" t="str">
        <x:v>infrastructureRequired</x:v>
      </x:c>
      <x:c r="E56" s="34" t="str">
        <x:v>Not included</x:v>
      </x:c>
      <x:c r="F56" s="34" t="str">
        <x:v>Not included</x:v>
      </x:c>
      <x:c r="G56" s="34" t="str">
        <x:v>Not included</x:v>
      </x:c>
      <x:c r="H56" s="34" t="str">
        <x:v>r2_storage</x:v>
      </x:c>
      <x:c r="I56" s="34" t="str">
        <x:v>Cloudflare R2 — $0.015 per GB-month</x:v>
      </x:c>
      <x:c r="J56" s="34" t="str">
        <x:v>$0.04 per GB-month</x:v>
      </x:c>
      <x:c r="K56" s="34" t="str"/>
    </x:row>
    <x:row r="57">
      <x:c r="A57" s="34" t="str">
        <x:v>Multivrs Compute</x:v>
      </x:c>
      <x:c r="B57" s="34" t="str">
        <x:v>Direct feature</x:v>
      </x:c>
      <x:c r="C57" s="34" t="str">
        <x:v>Fast Origin Transfer</x:v>
      </x:c>
      <x:c r="D57" s="34" t="str">
        <x:v>available</x:v>
      </x:c>
      <x:c r="E57" s="34" t="str">
        <x:v>5 GB / month included — hard limit</x:v>
      </x:c>
      <x:c r="F57" s="34" t="str">
        <x:v>50 GB / month included — then $0.10 per GB</x:v>
      </x:c>
      <x:c r="G57" s="34" t="str">
        <x:v>Custom</x:v>
      </x:c>
      <x:c r="H57" s="34" t="str">
        <x:v>fast_data_transfer_worst</x:v>
      </x:c>
      <x:c r="I57" s="34" t="str">
        <x:v>Cloudflare Containers — $0.05 per GB egress</x:v>
      </x:c>
      <x:c r="J57" s="34" t="str">
        <x:v>$0.1 per GB egress</x:v>
      </x:c>
      <x:c r="K57" s="34" t="str"/>
    </x:row>
    <x:row r="58">
      <x:c r="A58" s="34" t="str">
        <x:v>Multivrs Compute</x:v>
      </x:c>
      <x:c r="B58" s="34" t="str">
        <x:v>Multivrs Workflows</x:v>
      </x:c>
      <x:c r="C58" s="34" t="str">
        <x:v>Events</x:v>
      </x:c>
      <x:c r="D58" s="34" t="str">
        <x:v>available</x:v>
      </x:c>
      <x:c r="E58" s="34" t="str">
        <x:v>10K / month included — hard limit</x:v>
      </x:c>
      <x:c r="F58" s="34" t="str">
        <x:v>100K / month included — then $1 per 1M operations</x:v>
      </x:c>
      <x:c r="G58" s="34" t="str">
        <x:v>Custom</x:v>
      </x:c>
      <x:c r="H58" s="34" t="str">
        <x:v>workflow_steps</x:v>
      </x:c>
      <x:c r="I58" s="34" t="str">
        <x:v>Cloudflare Workflows — $0.8 per 100K steps</x:v>
      </x:c>
      <x:c r="J58" s="34" t="str">
        <x:v>$2 per 100K steps</x:v>
      </x:c>
      <x:c r="K58" s="34" t="str"/>
    </x:row>
    <x:row r="59">
      <x:c r="A59" s="34" t="str">
        <x:v>Multivrs Compute</x:v>
      </x:c>
      <x:c r="B59" s="34" t="str">
        <x:v>Multivrs Workflows</x:v>
      </x:c>
      <x:c r="C59" s="34" t="str">
        <x:v>Data Written</x:v>
      </x:c>
      <x:c r="D59" s="34" t="str">
        <x:v>available</x:v>
      </x:c>
      <x:c r="E59" s="34" t="str">
        <x:v>100 MB / month included — hard limit</x:v>
      </x:c>
      <x:c r="F59" s="34" t="str">
        <x:v>1 GB / month included — then $0.50 per GB</x:v>
      </x:c>
      <x:c r="G59" s="34" t="str">
        <x:v>Custom</x:v>
      </x:c>
      <x:c r="H59" s="34" t="str">
        <x:v>none</x:v>
      </x:c>
      <x:c r="I59" s="34" t="str">
        <x:v>Included platform capability</x:v>
      </x:c>
      <x:c r="J59" s="34" t="str">
        <x:v>Include in base plan; no separate usage line</x:v>
      </x:c>
      <x:c r="K59" s="34" t="str"/>
    </x:row>
    <x:row r="60">
      <x:c r="A60" s="34" t="str">
        <x:v>Multivrs Compute</x:v>
      </x:c>
      <x:c r="B60" s="34" t="str">
        <x:v>Multivrs Workflows</x:v>
      </x:c>
      <x:c r="C60" s="34" t="str">
        <x:v>Data Retained</x:v>
      </x:c>
      <x:c r="D60" s="34" t="str">
        <x:v>available</x:v>
      </x:c>
      <x:c r="E60" s="34" t="str">
        <x:v>100 MB included — hard limit</x:v>
      </x:c>
      <x:c r="F60" s="34" t="str">
        <x:v>1 GB included — then $0.50 per GB-month</x:v>
      </x:c>
      <x:c r="G60" s="34" t="str">
        <x:v>Custom</x:v>
      </x:c>
      <x:c r="H60" s="34" t="str">
        <x:v>none</x:v>
      </x:c>
      <x:c r="I60" s="34" t="str">
        <x:v>Included platform capability</x:v>
      </x:c>
      <x:c r="J60" s="34" t="str">
        <x:v>Include in base plan; no separate usage line</x:v>
      </x:c>
      <x:c r="K60" s="34" t="str"/>
    </x:row>
    <x:row r="61">
      <x:c r="A61" s="34" t="str">
        <x:v>Multivrs Compute</x:v>
      </x:c>
      <x:c r="B61" s="34" t="str">
        <x:v>Compute Automation</x:v>
      </x:c>
      <x:c r="C61" s="34" t="str">
        <x:v>API Operations</x:v>
      </x:c>
      <x:c r="D61" s="34" t="str">
        <x:v>available</x:v>
      </x:c>
      <x:c r="E61" s="34" t="str">
        <x:v>Included</x:v>
      </x:c>
      <x:c r="F61" s="34" t="str">
        <x:v>Included</x:v>
      </x:c>
      <x:c r="G61" s="34" t="str">
        <x:v>Included</x:v>
      </x:c>
      <x:c r="H61" s="34" t="str">
        <x:v>none</x:v>
      </x:c>
      <x:c r="I61" s="34" t="str">
        <x:v>Included platform capability</x:v>
      </x:c>
      <x:c r="J61" s="34" t="str">
        <x:v>Include in base plan; no separate usage line</x:v>
      </x:c>
      <x:c r="K61" s="34" t="str"/>
    </x:row>
    <x:row r="62">
      <x:c r="A62" s="34" t="str">
        <x:v>Multivrs Compute</x:v>
      </x:c>
      <x:c r="B62" s="34" t="str">
        <x:v>Compute Automation</x:v>
      </x:c>
      <x:c r="C62" s="34" t="str">
        <x:v>Cron Jobs</x:v>
      </x:c>
      <x:c r="D62" s="34" t="str">
        <x:v>available</x:v>
      </x:c>
      <x:c r="E62" s="34" t="str">
        <x:v>Up to 2</x:v>
      </x:c>
      <x:c r="F62" s="34" t="str">
        <x:v>Up to 10</x:v>
      </x:c>
      <x:c r="G62" s="34" t="str">
        <x:v>Custom</x:v>
      </x:c>
      <x:c r="H62" s="34" t="str">
        <x:v>none</x:v>
      </x:c>
      <x:c r="I62" s="34" t="str">
        <x:v>Included platform capability</x:v>
      </x:c>
      <x:c r="J62" s="34" t="str">
        <x:v>Include in base plan; no separate usage line</x:v>
      </x:c>
      <x:c r="K62" s="34" t="str"/>
    </x:row>
    <x:row r="63">
      <x:c r="A63" s="34" t="str">
        <x:v>Build &amp; Deployments</x:v>
      </x:c>
      <x:c r="B63" s="34" t="str">
        <x:v>Build Infrastructure</x:v>
      </x:c>
      <x:c r="C63" s="34" t="str">
        <x:v>Automatic CI/CD</x:v>
      </x:c>
      <x:c r="D63" s="34" t="str">
        <x:v>available</x:v>
      </x:c>
      <x:c r="E63" s="34" t="str">
        <x:v>Included</x:v>
      </x:c>
      <x:c r="F63" s="34" t="str">
        <x:v>Included</x:v>
      </x:c>
      <x:c r="G63" s="34" t="str">
        <x:v>Included</x:v>
      </x:c>
      <x:c r="H63" s="34" t="str">
        <x:v>none</x:v>
      </x:c>
      <x:c r="I63" s="34" t="str">
        <x:v>Included platform capability</x:v>
      </x:c>
      <x:c r="J63" s="34" t="str">
        <x:v>Include in base plan; no separate usage line</x:v>
      </x:c>
      <x:c r="K63" s="34" t="str"/>
    </x:row>
    <x:row r="64">
      <x:c r="A64" s="34" t="str">
        <x:v>Build &amp; Deployments</x:v>
      </x:c>
      <x:c r="B64" s="34" t="str">
        <x:v>Build Infrastructure</x:v>
      </x:c>
      <x:c r="C64" s="34" t="str">
        <x:v>Environment Variables</x:v>
      </x:c>
      <x:c r="D64" s="34" t="str">
        <x:v>available</x:v>
      </x:c>
      <x:c r="E64" s="34" t="str">
        <x:v>Up to 50</x:v>
      </x:c>
      <x:c r="F64" s="34" t="str">
        <x:v>Up to 500</x:v>
      </x:c>
      <x:c r="G64" s="34" t="str">
        <x:v>Custom</x:v>
      </x:c>
      <x:c r="H64" s="34" t="str">
        <x:v>none</x:v>
      </x:c>
      <x:c r="I64" s="34" t="str">
        <x:v>Included platform capability</x:v>
      </x:c>
      <x:c r="J64" s="34" t="str">
        <x:v>Include in base plan; no separate usage line</x:v>
      </x:c>
      <x:c r="K64" s="34" t="str"/>
    </x:row>
    <x:row r="65">
      <x:c r="A65" s="34" t="str">
        <x:v>Build &amp; Deployments</x:v>
      </x:c>
      <x:c r="B65" s="34" t="str">
        <x:v>Build Infrastructure</x:v>
      </x:c>
      <x:c r="C65" s="34" t="str">
        <x:v>Build Logs</x:v>
      </x:c>
      <x:c r="D65" s="34" t="str">
        <x:v>available</x:v>
      </x:c>
      <x:c r="E65" s="34" t="str">
        <x:v>1 day retention</x:v>
      </x:c>
      <x:c r="F65" s="34" t="str">
        <x:v>7 day retention</x:v>
      </x:c>
      <x:c r="G65" s="34" t="str">
        <x:v>Custom</x:v>
      </x:c>
      <x:c r="H65" s="34" t="str">
        <x:v>workers_logs</x:v>
      </x:c>
      <x:c r="I65" s="34" t="str">
        <x:v>Cloudflare Workers Logs — $0.6 per 1M log events</x:v>
      </x:c>
      <x:c r="J65" s="34" t="str">
        <x:v>$1.5 per 1M log events</x:v>
      </x:c>
      <x:c r="K65" s="34" t="str"/>
    </x:row>
    <x:row r="66">
      <x:c r="A66" s="34" t="str">
        <x:v>Build &amp; Deployments</x:v>
      </x:c>
      <x:c r="B66" s="34" t="str">
        <x:v>Build Infrastructure</x:v>
      </x:c>
      <x:c r="C66" s="34" t="str">
        <x:v>Remote Cache</x:v>
      </x:c>
      <x:c r="D66" s="34" t="str">
        <x:v>available</x:v>
      </x:c>
      <x:c r="E66" s="34" t="str">
        <x:v>1 GB included — hard limit</x:v>
      </x:c>
      <x:c r="F66" s="34" t="str">
        <x:v>5 GB included — then $0.04 per GB-month</x:v>
      </x:c>
      <x:c r="G66" s="34" t="str">
        <x:v>Custom</x:v>
      </x:c>
      <x:c r="H66" s="34" t="str">
        <x:v>r2_storage</x:v>
      </x:c>
      <x:c r="I66" s="34" t="str">
        <x:v>Cloudflare R2 — $0.015 per GB-month</x:v>
      </x:c>
      <x:c r="J66" s="34" t="str">
        <x:v>$0.04 per GB-month</x:v>
      </x:c>
      <x:c r="K66" s="34" t="str"/>
    </x:row>
    <x:row r="67">
      <x:c r="A67" s="34" t="str">
        <x:v>Build &amp; Deployments</x:v>
      </x:c>
      <x:c r="B67" s="34" t="str">
        <x:v>Build Infrastructure</x:v>
      </x:c>
      <x:c r="C67" s="34" t="str">
        <x:v>Monorepo Support</x:v>
      </x:c>
      <x:c r="D67" s="34" t="str">
        <x:v>available</x:v>
      </x:c>
      <x:c r="E67" s="34" t="str">
        <x:v>Included</x:v>
      </x:c>
      <x:c r="F67" s="34" t="str">
        <x:v>Included</x:v>
      </x:c>
      <x:c r="G67" s="34" t="str">
        <x:v>Included</x:v>
      </x:c>
      <x:c r="H67" s="34" t="str">
        <x:v>none</x:v>
      </x:c>
      <x:c r="I67" s="34" t="str">
        <x:v>Included platform capability</x:v>
      </x:c>
      <x:c r="J67" s="34" t="str">
        <x:v>Include in base plan; no separate usage line</x:v>
      </x:c>
      <x:c r="K67" s="34" t="str"/>
    </x:row>
    <x:row r="68">
      <x:c r="A68" s="34" t="str">
        <x:v>Build &amp; Deployments</x:v>
      </x:c>
      <x:c r="B68" s="34" t="str">
        <x:v>Build Infrastructure</x:v>
      </x:c>
      <x:c r="C68" s="34" t="str">
        <x:v>Webhook Triggers</x:v>
      </x:c>
      <x:c r="D68" s="34" t="str">
        <x:v>available</x:v>
      </x:c>
      <x:c r="E68" s="34" t="str">
        <x:v>1 integration</x:v>
      </x:c>
      <x:c r="F68" s="34" t="str">
        <x:v>Up to 10</x:v>
      </x:c>
      <x:c r="G68" s="34" t="str">
        <x:v>Custom</x:v>
      </x:c>
      <x:c r="H68" s="34" t="str">
        <x:v>none</x:v>
      </x:c>
      <x:c r="I68" s="34" t="str">
        <x:v>Included platform capability</x:v>
      </x:c>
      <x:c r="J68" s="34" t="str">
        <x:v>Include in base plan; no separate usage line</x:v>
      </x:c>
      <x:c r="K68" s="34" t="str"/>
    </x:row>
    <x:row r="69">
      <x:c r="A69" s="34" t="str">
        <x:v>Build &amp; Deployments</x:v>
      </x:c>
      <x:c r="B69" s="34" t="str">
        <x:v>Build Infrastructure</x:v>
      </x:c>
      <x:c r="C69" s="34" t="str">
        <x:v>Custom Environments</x:v>
      </x:c>
      <x:c r="D69" s="34" t="str">
        <x:v>preview</x:v>
      </x:c>
      <x:c r="E69" s="34" t="str">
        <x:v>Not included</x:v>
      </x:c>
      <x:c r="F69" s="34" t="str">
        <x:v>Included</x:v>
      </x:c>
      <x:c r="G69" s="34" t="str">
        <x:v>Included</x:v>
      </x:c>
      <x:c r="H69" s="34" t="str">
        <x:v>none</x:v>
      </x:c>
      <x:c r="I69" s="34" t="str">
        <x:v>Included platform capability</x:v>
      </x:c>
      <x:c r="J69" s="34" t="str">
        <x:v>Include in base plan; no separate usage line</x:v>
      </x:c>
      <x:c r="K69" s="34" t="str"/>
    </x:row>
    <x:row r="70">
      <x:c r="A70" s="34" t="str">
        <x:v>Build &amp; Deployments</x:v>
      </x:c>
      <x:c r="B70" s="34" t="str">
        <x:v>Build Minutes</x:v>
      </x:c>
      <x:c r="C70" s="34" t="str">
        <x:v>Standard Machines</x:v>
      </x:c>
      <x:c r="D70" s="34" t="str">
        <x:v>available</x:v>
      </x:c>
      <x:c r="E70" s="34" t="str">
        <x:v>100 min / month — hard limit</x:v>
      </x:c>
      <x:c r="F70" s="34" t="str">
        <x:v>500 min / month — then $0.02 per minute</x:v>
      </x:c>
      <x:c r="G70" s="34" t="str">
        <x:v>Custom</x:v>
      </x:c>
      <x:c r="H70" s="34" t="str">
        <x:v>container_cpu</x:v>
      </x:c>
      <x:c r="I70" s="34" t="str">
        <x:v>Cloudflare Containers — $0.072 per vCPU-hour</x:v>
      </x:c>
      <x:c r="J70" s="34" t="str">
        <x:v>$0.18 per vCPU-hour</x:v>
      </x:c>
      <x:c r="K70" s="34" t="str"/>
    </x:row>
    <x:row r="71">
      <x:c r="A71" s="34" t="str">
        <x:v>Build &amp; Deployments</x:v>
      </x:c>
      <x:c r="B71" s="34" t="str">
        <x:v>Build Minutes</x:v>
      </x:c>
      <x:c r="C71" s="34" t="str">
        <x:v>Enhanced Machines</x:v>
      </x:c>
      <x:c r="D71" s="34" t="str">
        <x:v>infrastructureRequired</x:v>
      </x:c>
      <x:c r="E71" s="34" t="str">
        <x:v>Not included</x:v>
      </x:c>
      <x:c r="F71" s="34" t="str">
        <x:v>Not included</x:v>
      </x:c>
      <x:c r="G71" s="34" t="str">
        <x:v>Not included</x:v>
      </x:c>
      <x:c r="H71" s="34" t="str">
        <x:v>container_cpu</x:v>
      </x:c>
      <x:c r="I71" s="34" t="str">
        <x:v>Cloudflare Containers — $0.072 per vCPU-hour</x:v>
      </x:c>
      <x:c r="J71" s="34" t="str">
        <x:v>$0.18 per vCPU-hour</x:v>
      </x:c>
      <x:c r="K71" s="34" t="str"/>
    </x:row>
    <x:row r="72">
      <x:c r="A72" s="34" t="str">
        <x:v>Build &amp; Deployments</x:v>
      </x:c>
      <x:c r="B72" s="34" t="str">
        <x:v>Build Minutes</x:v>
      </x:c>
      <x:c r="C72" s="34" t="str">
        <x:v>Turbo Machines</x:v>
      </x:c>
      <x:c r="D72" s="34" t="str">
        <x:v>infrastructureRequired</x:v>
      </x:c>
      <x:c r="E72" s="34" t="str">
        <x:v>Not included</x:v>
      </x:c>
      <x:c r="F72" s="34" t="str">
        <x:v>Not included</x:v>
      </x:c>
      <x:c r="G72" s="34" t="str">
        <x:v>Not included</x:v>
      </x:c>
      <x:c r="H72" s="34" t="str">
        <x:v>container_cpu</x:v>
      </x:c>
      <x:c r="I72" s="34" t="str">
        <x:v>Cloudflare Containers — $0.072 per vCPU-hour</x:v>
      </x:c>
      <x:c r="J72" s="34" t="str">
        <x:v>$0.18 per vCPU-hour</x:v>
      </x:c>
      <x:c r="K72" s="34" t="str"/>
    </x:row>
    <x:row r="73">
      <x:c r="A73" s="34" t="str">
        <x:v>Build &amp; Deployments</x:v>
      </x:c>
      <x:c r="B73" s="34" t="str">
        <x:v>Build Minutes</x:v>
      </x:c>
      <x:c r="C73" s="34" t="str">
        <x:v>Elastic Machines</x:v>
      </x:c>
      <x:c r="D73" s="34" t="str">
        <x:v>infrastructureRequired</x:v>
      </x:c>
      <x:c r="E73" s="34" t="str">
        <x:v>Not included</x:v>
      </x:c>
      <x:c r="F73" s="34" t="str">
        <x:v>Not included</x:v>
      </x:c>
      <x:c r="G73" s="34" t="str">
        <x:v>Not included</x:v>
      </x:c>
      <x:c r="H73" s="34" t="str">
        <x:v>container_cpu</x:v>
      </x:c>
      <x:c r="I73" s="34" t="str">
        <x:v>Cloudflare Containers — $0.072 per vCPU-hour</x:v>
      </x:c>
      <x:c r="J73" s="34" t="str">
        <x:v>$0.18 per vCPU-hour</x:v>
      </x:c>
      <x:c r="K73" s="34" t="str"/>
    </x:row>
    <x:row r="74">
      <x:c r="A74" s="34" t="str">
        <x:v>Build &amp; Deployments</x:v>
      </x:c>
      <x:c r="B74" s="34" t="str">
        <x:v>Deployments</x:v>
      </x:c>
      <x:c r="C74" s="34" t="str">
        <x:v>Unlimited Deployments</x:v>
      </x:c>
      <x:c r="D74" s="34" t="str">
        <x:v>available</x:v>
      </x:c>
      <x:c r="E74" s="34" t="str">
        <x:v>Included</x:v>
      </x:c>
      <x:c r="F74" s="34" t="str">
        <x:v>Included</x:v>
      </x:c>
      <x:c r="G74" s="34" t="str">
        <x:v>Included</x:v>
      </x:c>
      <x:c r="H74" s="34" t="str">
        <x:v>none</x:v>
      </x:c>
      <x:c r="I74" s="34" t="str">
        <x:v>Included platform capability</x:v>
      </x:c>
      <x:c r="J74" s="34" t="str">
        <x:v>Include in base plan; no separate usage line</x:v>
      </x:c>
      <x:c r="K74" s="34" t="str"/>
    </x:row>
    <x:row r="75">
      <x:c r="A75" s="34" t="str">
        <x:v>Build &amp; Deployments</x:v>
      </x:c>
      <x:c r="B75" s="34" t="str">
        <x:v>Deployments</x:v>
      </x:c>
      <x:c r="C75" s="34" t="str">
        <x:v>Instant Rollback</x:v>
      </x:c>
      <x:c r="D75" s="34" t="str">
        <x:v>available</x:v>
      </x:c>
      <x:c r="E75" s="34" t="str">
        <x:v>Included</x:v>
      </x:c>
      <x:c r="F75" s="34" t="str">
        <x:v>Included</x:v>
      </x:c>
      <x:c r="G75" s="34" t="str">
        <x:v>Included</x:v>
      </x:c>
      <x:c r="H75" s="34" t="str">
        <x:v>none</x:v>
      </x:c>
      <x:c r="I75" s="34" t="str">
        <x:v>Included platform capability</x:v>
      </x:c>
      <x:c r="J75" s="34" t="str">
        <x:v>Include in base plan; no separate usage line</x:v>
      </x:c>
      <x:c r="K75" s="34" t="str"/>
    </x:row>
    <x:row r="76">
      <x:c r="A76" s="34" t="str">
        <x:v>Build &amp; Deployments</x:v>
      </x:c>
      <x:c r="B76" s="34" t="str">
        <x:v>Deployments</x:v>
      </x:c>
      <x:c r="C76" s="34" t="str">
        <x:v>Multi-tenant Support</x:v>
      </x:c>
      <x:c r="D76" s="34" t="str">
        <x:v>preview</x:v>
      </x:c>
      <x:c r="E76" s="34" t="str">
        <x:v>Not included</x:v>
      </x:c>
      <x:c r="F76" s="34" t="str">
        <x:v>Included</x:v>
      </x:c>
      <x:c r="G76" s="34" t="str">
        <x:v>Included</x:v>
      </x:c>
      <x:c r="H76" s="34" t="str">
        <x:v>none</x:v>
      </x:c>
      <x:c r="I76" s="34" t="str">
        <x:v>Included platform capability</x:v>
      </x:c>
      <x:c r="J76" s="34" t="str">
        <x:v>Include in base plan; no separate usage line</x:v>
      </x:c>
      <x:c r="K76" s="34" t="str"/>
    </x:row>
    <x:row r="77">
      <x:c r="A77" s="34" t="str">
        <x:v>Build &amp; Deployments</x:v>
      </x:c>
      <x:c r="B77" s="34" t="str">
        <x:v>Deployments</x:v>
      </x:c>
      <x:c r="C77" s="34" t="str">
        <x:v>Skew Protection</x:v>
      </x:c>
      <x:c r="D77" s="34" t="str">
        <x:v>infrastructureRequired</x:v>
      </x:c>
      <x:c r="E77" s="34" t="str">
        <x:v>Not included</x:v>
      </x:c>
      <x:c r="F77" s="34" t="str">
        <x:v>Not included</x:v>
      </x:c>
      <x:c r="G77" s="34" t="str">
        <x:v>Not included</x:v>
      </x:c>
      <x:c r="H77" s="34" t="str">
        <x:v>none</x:v>
      </x:c>
      <x:c r="I77" s="34" t="str">
        <x:v>Provider contract / implementation cost; public unit rate unavailable</x:v>
      </x:c>
      <x:c r="J77" s="34" t="str">
        <x:v>Enterprise only; obtain vendor quote, add support/risk reserve and target margin</x:v>
      </x:c>
      <x:c r="K77" s="34" t="str"/>
    </x:row>
    <x:row r="78">
      <x:c r="A78" s="34" t="str">
        <x:v>Build &amp; Deployments</x:v>
      </x:c>
      <x:c r="B78" s="34" t="str">
        <x:v>Deployments</x:v>
      </x:c>
      <x:c r="C78" s="34" t="str">
        <x:v>Rolling Releases</x:v>
      </x:c>
      <x:c r="D78" s="34" t="str">
        <x:v>infrastructureRequired</x:v>
      </x:c>
      <x:c r="E78" s="34" t="str">
        <x:v>Not included</x:v>
      </x:c>
      <x:c r="F78" s="34" t="str">
        <x:v>Not included</x:v>
      </x:c>
      <x:c r="G78" s="34" t="str">
        <x:v>Not included</x:v>
      </x:c>
      <x:c r="H78" s="34" t="str">
        <x:v>none</x:v>
      </x:c>
      <x:c r="I78" s="34" t="str">
        <x:v>Provider contract / implementation cost; public unit rate unavailable</x:v>
      </x:c>
      <x:c r="J78" s="34" t="str">
        <x:v>Enterprise only; obtain vendor quote, add support/risk reserve and target margin</x:v>
      </x:c>
      <x:c r="K78" s="34" t="str"/>
    </x:row>
    <x:row r="79">
      <x:c r="A79" s="34" t="str">
        <x:v>Build &amp; Deployments</x:v>
      </x:c>
      <x:c r="B79" s="34" t="str">
        <x:v>Deployments</x:v>
      </x:c>
      <x:c r="C79" s="34" t="str">
        <x:v>Preview Deployment Suffix</x:v>
      </x:c>
      <x:c r="D79" s="34" t="str">
        <x:v>infrastructureRequired</x:v>
      </x:c>
      <x:c r="E79" s="34" t="str">
        <x:v>Not included</x:v>
      </x:c>
      <x:c r="F79" s="34" t="str">
        <x:v>Not included</x:v>
      </x:c>
      <x:c r="G79" s="34" t="str">
        <x:v>Not included</x:v>
      </x:c>
      <x:c r="H79" s="34" t="str">
        <x:v>none</x:v>
      </x:c>
      <x:c r="I79" s="34" t="str">
        <x:v>Provider contract / implementation cost; public unit rate unavailable</x:v>
      </x:c>
      <x:c r="J79" s="34" t="str">
        <x:v>Enterprise only; obtain vendor quote, add support/risk reserve and target margin</x:v>
      </x:c>
      <x:c r="K79" s="34" t="str"/>
    </x:row>
    <x:row r="80">
      <x:c r="A80" s="34" t="str">
        <x:v>Collaboration &amp; Multivrs Toolbar</x:v>
      </x:c>
      <x:c r="B80" s="34" t="str">
        <x:v>Team Seats</x:v>
      </x:c>
      <x:c r="C80" s="34" t="str">
        <x:v>Developer Seat</x:v>
      </x:c>
      <x:c r="D80" s="34" t="str">
        <x:v>infrastructureRequired</x:v>
      </x:c>
      <x:c r="E80" s="34" t="str">
        <x:v>Not included</x:v>
      </x:c>
      <x:c r="F80" s="34" t="str">
        <x:v>Not included</x:v>
      </x:c>
      <x:c r="G80" s="34" t="str">
        <x:v>Not included</x:v>
      </x:c>
      <x:c r="H80" s="34" t="str">
        <x:v>none</x:v>
      </x:c>
      <x:c r="I80" s="34" t="str">
        <x:v>Provider contract / implementation cost; public unit rate unavailable</x:v>
      </x:c>
      <x:c r="J80" s="34" t="str">
        <x:v>Enterprise only; obtain vendor quote, add support/risk reserve and target margin</x:v>
      </x:c>
      <x:c r="K80" s="34" t="str"/>
    </x:row>
    <x:row r="81">
      <x:c r="A81" s="34" t="str">
        <x:v>Collaboration &amp; Multivrs Toolbar</x:v>
      </x:c>
      <x:c r="B81" s="34" t="str">
        <x:v>Team Seats</x:v>
      </x:c>
      <x:c r="C81" s="34" t="str">
        <x:v>Viewer Seat</x:v>
      </x:c>
      <x:c r="D81" s="34" t="str">
        <x:v>infrastructureRequired</x:v>
      </x:c>
      <x:c r="E81" s="34" t="str">
        <x:v>Not included</x:v>
      </x:c>
      <x:c r="F81" s="34" t="str">
        <x:v>Not included</x:v>
      </x:c>
      <x:c r="G81" s="34" t="str">
        <x:v>Not included</x:v>
      </x:c>
      <x:c r="H81" s="34" t="str">
        <x:v>none</x:v>
      </x:c>
      <x:c r="I81" s="34" t="str">
        <x:v>Provider contract / implementation cost; public unit rate unavailable</x:v>
      </x:c>
      <x:c r="J81" s="34" t="str">
        <x:v>Enterprise only; obtain vendor quote, add support/risk reserve and target margin</x:v>
      </x:c>
      <x:c r="K81" s="34" t="str"/>
    </x:row>
    <x:row r="82">
      <x:c r="A82" s="34" t="str">
        <x:v>Collaboration &amp; Multivrs Toolbar</x:v>
      </x:c>
      <x:c r="B82" s="34" t="str">
        <x:v>Team Seats</x:v>
      </x:c>
      <x:c r="C82" s="34" t="str">
        <x:v>Billing Seat</x:v>
      </x:c>
      <x:c r="D82" s="34" t="str">
        <x:v>infrastructureRequired</x:v>
      </x:c>
      <x:c r="E82" s="34" t="str">
        <x:v>Not included</x:v>
      </x:c>
      <x:c r="F82" s="34" t="str">
        <x:v>Not included</x:v>
      </x:c>
      <x:c r="G82" s="34" t="str">
        <x:v>Not included</x:v>
      </x:c>
      <x:c r="H82" s="34" t="str">
        <x:v>none</x:v>
      </x:c>
      <x:c r="I82" s="34" t="str">
        <x:v>Provider contract / implementation cost; public unit rate unavailable</x:v>
      </x:c>
      <x:c r="J82" s="34" t="str">
        <x:v>Enterprise only; obtain vendor quote, add support/risk reserve and target margin</x:v>
      </x:c>
      <x:c r="K82" s="34" t="str"/>
    </x:row>
    <x:row r="83">
      <x:c r="A83" s="34" t="str">
        <x:v>Collaboration &amp; Multivrs Toolbar</x:v>
      </x:c>
      <x:c r="B83" s="34" t="str">
        <x:v>Multivrs Toolbar</x:v>
      </x:c>
      <x:c r="C83" s="34" t="str">
        <x:v>Comments</x:v>
      </x:c>
      <x:c r="D83" s="34" t="str">
        <x:v>infrastructureRequired</x:v>
      </x:c>
      <x:c r="E83" s="34" t="str">
        <x:v>Not included</x:v>
      </x:c>
      <x:c r="F83" s="34" t="str">
        <x:v>Not included</x:v>
      </x:c>
      <x:c r="G83" s="34" t="str">
        <x:v>Not included</x:v>
      </x:c>
      <x:c r="H83" s="34" t="str">
        <x:v>none</x:v>
      </x:c>
      <x:c r="I83" s="34" t="str">
        <x:v>Provider contract / implementation cost; public unit rate unavailable</x:v>
      </x:c>
      <x:c r="J83" s="34" t="str">
        <x:v>Enterprise only; obtain vendor quote, add support/risk reserve and target margin</x:v>
      </x:c>
      <x:c r="K83" s="34" t="str"/>
    </x:row>
    <x:row r="84">
      <x:c r="A84" s="34" t="str">
        <x:v>Collaboration &amp; Multivrs Toolbar</x:v>
      </x:c>
      <x:c r="B84" s="34" t="str">
        <x:v>Multivrs Toolbar</x:v>
      </x:c>
      <x:c r="C84" s="34" t="str">
        <x:v>Layout Shift Tool</x:v>
      </x:c>
      <x:c r="D84" s="34" t="str">
        <x:v>preview</x:v>
      </x:c>
      <x:c r="E84" s="34" t="str">
        <x:v>Included</x:v>
      </x:c>
      <x:c r="F84" s="34" t="str">
        <x:v>Included</x:v>
      </x:c>
      <x:c r="G84" s="34" t="str">
        <x:v>Included</x:v>
      </x:c>
      <x:c r="H84" s="34" t="str">
        <x:v>none</x:v>
      </x:c>
      <x:c r="I84" s="34" t="str">
        <x:v>Included platform capability</x:v>
      </x:c>
      <x:c r="J84" s="34" t="str">
        <x:v>Include in base plan; no separate usage line</x:v>
      </x:c>
      <x:c r="K84" s="34" t="str"/>
    </x:row>
    <x:row r="85">
      <x:c r="A85" s="34" t="str">
        <x:v>Collaboration &amp; Multivrs Toolbar</x:v>
      </x:c>
      <x:c r="B85" s="34" t="str">
        <x:v>Multivrs Toolbar</x:v>
      </x:c>
      <x:c r="C85" s="34" t="str">
        <x:v>Draft Mode</x:v>
      </x:c>
      <x:c r="D85" s="34" t="str">
        <x:v>available</x:v>
      </x:c>
      <x:c r="E85" s="34" t="str">
        <x:v>Included</x:v>
      </x:c>
      <x:c r="F85" s="34" t="str">
        <x:v>Included</x:v>
      </x:c>
      <x:c r="G85" s="34" t="str">
        <x:v>Included</x:v>
      </x:c>
      <x:c r="H85" s="34" t="str">
        <x:v>none</x:v>
      </x:c>
      <x:c r="I85" s="34" t="str">
        <x:v>Included platform capability</x:v>
      </x:c>
      <x:c r="J85" s="34" t="str">
        <x:v>Include in base plan; no separate usage line</x:v>
      </x:c>
      <x:c r="K85" s="34" t="str"/>
    </x:row>
    <x:row r="86">
      <x:c r="A86" s="34" t="str">
        <x:v>Collaboration &amp; Multivrs Toolbar</x:v>
      </x:c>
      <x:c r="B86" s="34" t="str">
        <x:v>Multivrs Toolbar</x:v>
      </x:c>
      <x:c r="C86" s="34" t="str">
        <x:v>Productivity Integrations</x:v>
      </x:c>
      <x:c r="D86" s="34" t="str">
        <x:v>preview</x:v>
      </x:c>
      <x:c r="E86" s="34" t="str">
        <x:v>Not included</x:v>
      </x:c>
      <x:c r="F86" s="34" t="str">
        <x:v>Included</x:v>
      </x:c>
      <x:c r="G86" s="34" t="str">
        <x:v>Included</x:v>
      </x:c>
      <x:c r="H86" s="34" t="str">
        <x:v>none</x:v>
      </x:c>
      <x:c r="I86" s="34" t="str">
        <x:v>Included platform capability</x:v>
      </x:c>
      <x:c r="J86" s="34" t="str">
        <x:v>Include in base plan; no separate usage line</x:v>
      </x:c>
      <x:c r="K86" s="34" t="str"/>
    </x:row>
    <x:row r="87">
      <x:c r="A87" s="34" t="str">
        <x:v>Collaboration &amp; Multivrs Toolbar</x:v>
      </x:c>
      <x:c r="B87" s="34" t="str">
        <x:v>Multivrs Toolbar</x:v>
      </x:c>
      <x:c r="C87" s="34" t="str">
        <x:v>Previewers</x:v>
      </x:c>
      <x:c r="D87" s="34" t="str">
        <x:v>infrastructureRequired</x:v>
      </x:c>
      <x:c r="E87" s="34" t="str">
        <x:v>Not included</x:v>
      </x:c>
      <x:c r="F87" s="34" t="str">
        <x:v>Not included</x:v>
      </x:c>
      <x:c r="G87" s="34" t="str">
        <x:v>Not included</x:v>
      </x:c>
      <x:c r="H87" s="34" t="str">
        <x:v>none</x:v>
      </x:c>
      <x:c r="I87" s="34" t="str">
        <x:v>Provider contract / implementation cost; public unit rate unavailable</x:v>
      </x:c>
      <x:c r="J87" s="34" t="str">
        <x:v>Enterprise only; obtain vendor quote, add support/risk reserve and target margin</x:v>
      </x:c>
      <x:c r="K87" s="34" t="str"/>
    </x:row>
    <x:row r="88">
      <x:c r="A88" s="34" t="str">
        <x:v>Collaboration &amp; Multivrs Toolbar</x:v>
      </x:c>
      <x:c r="B88" s="34" t="str">
        <x:v>Multivrs Toolbar</x:v>
      </x:c>
      <x:c r="C88" s="34" t="str">
        <x:v>Accessibility Audit</x:v>
      </x:c>
      <x:c r="D88" s="34" t="str">
        <x:v>infrastructureRequired</x:v>
      </x:c>
      <x:c r="E88" s="34" t="str">
        <x:v>Not included</x:v>
      </x:c>
      <x:c r="F88" s="34" t="str">
        <x:v>Not included</x:v>
      </x:c>
      <x:c r="G88" s="34" t="str">
        <x:v>Not included</x:v>
      </x:c>
      <x:c r="H88" s="34" t="str">
        <x:v>none</x:v>
      </x:c>
      <x:c r="I88" s="34" t="str">
        <x:v>Provider contract / implementation cost; public unit rate unavailable</x:v>
      </x:c>
      <x:c r="J88" s="34" t="str">
        <x:v>Enterprise only; obtain vendor quote, add support/risk reserve and target margin</x:v>
      </x:c>
      <x:c r="K88" s="34" t="str"/>
    </x:row>
    <x:row r="89">
      <x:c r="A89" s="34" t="str">
        <x:v>Collaboration &amp; Multivrs Toolbar</x:v>
      </x:c>
      <x:c r="B89" s="34" t="str">
        <x:v>Multivrs Toolbar</x:v>
      </x:c>
      <x:c r="C89" s="34" t="str">
        <x:v>Flags Explorer</x:v>
      </x:c>
      <x:c r="D89" s="34" t="str">
        <x:v>infrastructureRequired</x:v>
      </x:c>
      <x:c r="E89" s="34" t="str">
        <x:v>Not included</x:v>
      </x:c>
      <x:c r="F89" s="34" t="str">
        <x:v>Not included</x:v>
      </x:c>
      <x:c r="G89" s="34" t="str">
        <x:v>Not included</x:v>
      </x:c>
      <x:c r="H89" s="34" t="str">
        <x:v>none</x:v>
      </x:c>
      <x:c r="I89" s="34" t="str">
        <x:v>Provider contract / implementation cost; public unit rate unavailable</x:v>
      </x:c>
      <x:c r="J89" s="34" t="str">
        <x:v>Enterprise only; obtain vendor quote, add support/risk reserve and target margin</x:v>
      </x:c>
      <x:c r="K89" s="34" t="str"/>
    </x:row>
    <x:row r="90">
      <x:c r="A90" s="34" t="str">
        <x:v>Collaboration &amp; Multivrs Toolbar</x:v>
      </x:c>
      <x:c r="B90" s="34" t="str">
        <x:v>Multivrs Toolbar</x:v>
      </x:c>
      <x:c r="C90" s="34" t="str">
        <x:v>Multivrs Flags</x:v>
      </x:c>
      <x:c r="D90" s="34" t="str">
        <x:v>infrastructureRequired</x:v>
      </x:c>
      <x:c r="E90" s="34" t="str">
        <x:v>Not included</x:v>
      </x:c>
      <x:c r="F90" s="34" t="str">
        <x:v>Not included</x:v>
      </x:c>
      <x:c r="G90" s="34" t="str">
        <x:v>Not included</x:v>
      </x:c>
      <x:c r="H90" s="34" t="str">
        <x:v>none</x:v>
      </x:c>
      <x:c r="I90" s="34" t="str">
        <x:v>Provider contract / implementation cost; public unit rate unavailable</x:v>
      </x:c>
      <x:c r="J90" s="34" t="str">
        <x:v>Enterprise only; obtain vendor quote, add support/risk reserve and target margin</x:v>
      </x:c>
      <x:c r="K90" s="34" t="str"/>
    </x:row>
    <x:row r="91">
      <x:c r="A91" s="34" t="str">
        <x:v>Multivrs Mail</x:v>
      </x:c>
      <x:c r="B91" s="34" t="str">
        <x:v>Mailboxes &amp; domains</x:v>
      </x:c>
      <x:c r="C91" s="34" t="str">
        <x:v>Mailboxes</x:v>
      </x:c>
      <x:c r="D91" s="34" t="str">
        <x:v>available</x:v>
      </x:c>
      <x:c r="E91" s="34" t="str">
        <x:v>1 mailbox</x:v>
      </x:c>
      <x:c r="F91" s="34" t="str">
        <x:v>5 mailboxes</x:v>
      </x:c>
      <x:c r="G91" s="34" t="str">
        <x:v>Custom</x:v>
      </x:c>
      <x:c r="H91" s="34" t="str">
        <x:v>none</x:v>
      </x:c>
      <x:c r="I91" s="34" t="str">
        <x:v>Included platform capability</x:v>
      </x:c>
      <x:c r="J91" s="34" t="str">
        <x:v>Include in base plan; no separate usage line</x:v>
      </x:c>
      <x:c r="K91" s="34" t="str"/>
    </x:row>
    <x:row r="92">
      <x:c r="A92" s="34" t="str">
        <x:v>Multivrs Mail</x:v>
      </x:c>
      <x:c r="B92" s="34" t="str">
        <x:v>Mailboxes &amp; domains</x:v>
      </x:c>
      <x:c r="C92" s="34" t="str">
        <x:v>Mailbox aliases</x:v>
      </x:c>
      <x:c r="D92" s="34" t="str">
        <x:v>available</x:v>
      </x:c>
      <x:c r="E92" s="34" t="str">
        <x:v>3 aliases</x:v>
      </x:c>
      <x:c r="F92" s="34" t="str">
        <x:v>25 aliases</x:v>
      </x:c>
      <x:c r="G92" s="34" t="str">
        <x:v>Custom</x:v>
      </x:c>
      <x:c r="H92" s="34" t="str">
        <x:v>none</x:v>
      </x:c>
      <x:c r="I92" s="34" t="str">
        <x:v>Included platform capability</x:v>
      </x:c>
      <x:c r="J92" s="34" t="str">
        <x:v>Include in base plan; no separate usage line</x:v>
      </x:c>
      <x:c r="K92" s="34" t="str"/>
    </x:row>
    <x:row r="93">
      <x:c r="A93" s="34" t="str">
        <x:v>Multivrs Mail</x:v>
      </x:c>
      <x:c r="B93" s="34" t="str">
        <x:v>Mailboxes &amp; domains</x:v>
      </x:c>
      <x:c r="C93" s="34" t="str">
        <x:v>Custom sending &amp; receiving domains</x:v>
      </x:c>
      <x:c r="D93" s="34" t="str">
        <x:v>available</x:v>
      </x:c>
      <x:c r="E93" s="34" t="str">
        <x:v>1 domain</x:v>
      </x:c>
      <x:c r="F93" s="34" t="str">
        <x:v>3 domains</x:v>
      </x:c>
      <x:c r="G93" s="34" t="str">
        <x:v>Custom</x:v>
      </x:c>
      <x:c r="H93" s="34" t="str">
        <x:v>none</x:v>
      </x:c>
      <x:c r="I93" s="34" t="str">
        <x:v>Included platform capability</x:v>
      </x:c>
      <x:c r="J93" s="34" t="str">
        <x:v>Include in base plan; no separate usage line</x:v>
      </x:c>
      <x:c r="K93" s="34" t="str"/>
    </x:row>
    <x:row r="94">
      <x:c r="A94" s="34" t="str">
        <x:v>Multivrs Mail</x:v>
      </x:c>
      <x:c r="B94" s="34" t="str">
        <x:v>Mailboxes &amp; domains</x:v>
      </x:c>
      <x:c r="C94" s="34" t="str">
        <x:v>Shared mailbox members</x:v>
      </x:c>
      <x:c r="D94" s="34" t="str">
        <x:v>available</x:v>
      </x:c>
      <x:c r="E94" s="34" t="str">
        <x:v>Not included</x:v>
      </x:c>
      <x:c r="F94" s="34" t="str">
        <x:v>Up to 5 per mailbox</x:v>
      </x:c>
      <x:c r="G94" s="34" t="str">
        <x:v>Custom</x:v>
      </x:c>
      <x:c r="H94" s="34" t="str">
        <x:v>none</x:v>
      </x:c>
      <x:c r="I94" s="34" t="str">
        <x:v>Included platform capability</x:v>
      </x:c>
      <x:c r="J94" s="34" t="str">
        <x:v>Include in base plan; no separate usage line</x:v>
      </x:c>
      <x:c r="K94" s="34" t="str"/>
    </x:row>
    <x:row r="95">
      <x:c r="A95" s="34" t="str">
        <x:v>Multivrs Mail</x:v>
      </x:c>
      <x:c r="B95" s="34" t="str">
        <x:v>Mailboxes &amp; domains</x:v>
      </x:c>
      <x:c r="C95" s="34" t="str">
        <x:v>Automatic SPF, DKIM, DMARC &amp; MX setup</x:v>
      </x:c>
      <x:c r="D95" s="34" t="str">
        <x:v>available</x:v>
      </x:c>
      <x:c r="E95" s="34" t="str">
        <x:v>Included</x:v>
      </x:c>
      <x:c r="F95" s="34" t="str">
        <x:v>Included</x:v>
      </x:c>
      <x:c r="G95" s="34" t="str">
        <x:v>Included</x:v>
      </x:c>
      <x:c r="H95" s="34" t="str">
        <x:v>none</x:v>
      </x:c>
      <x:c r="I95" s="34" t="str">
        <x:v>Included platform capability</x:v>
      </x:c>
      <x:c r="J95" s="34" t="str">
        <x:v>Include in base plan; no separate usage line</x:v>
      </x:c>
      <x:c r="K95" s="34" t="str">
        <x:v>DNS records are installed automatically for Multivrs-managed domains and displayed for external DNS providers.</x:v>
      </x:c>
    </x:row>
    <x:row r="96">
      <x:c r="A96" s="34" t="str">
        <x:v>Multivrs Mail</x:v>
      </x:c>
      <x:c r="B96" s="34" t="str">
        <x:v>Sending &amp; receiving</x:v>
      </x:c>
      <x:c r="C96" s="34" t="str">
        <x:v>Two-way email</x:v>
      </x:c>
      <x:c r="D96" s="34" t="str">
        <x:v>available</x:v>
      </x:c>
      <x:c r="E96" s="34" t="str">
        <x:v>Included</x:v>
      </x:c>
      <x:c r="F96" s="34" t="str">
        <x:v>Included</x:v>
      </x:c>
      <x:c r="G96" s="34" t="str">
        <x:v>Included</x:v>
      </x:c>
      <x:c r="H96" s="34" t="str">
        <x:v>none</x:v>
      </x:c>
      <x:c r="I96" s="34" t="str">
        <x:v>Included platform capability</x:v>
      </x:c>
      <x:c r="J96" s="34" t="str">
        <x:v>Include in base plan; no separate usage line</x:v>
      </x:c>
      <x:c r="K96" s="34" t="str"/>
    </x:row>
    <x:row r="97">
      <x:c r="A97" s="34" t="str">
        <x:v>Multivrs Mail</x:v>
      </x:c>
      <x:c r="B97" s="34" t="str">
        <x:v>Sending &amp; receiving</x:v>
      </x:c>
      <x:c r="C97" s="34" t="str">
        <x:v>Emails sent &amp; received</x:v>
      </x:c>
      <x:c r="D97" s="34" t="str">
        <x:v>available</x:v>
      </x:c>
      <x:c r="E97" s="34" t="str">
        <x:v>100 / month — hard limit</x:v>
      </x:c>
      <x:c r="F97" s="34" t="str">
        <x:v>500 / month included — then $2 per 1K</x:v>
      </x:c>
      <x:c r="G97" s="34" t="str">
        <x:v>Custom</x:v>
      </x:c>
      <x:c r="H97" s="34" t="str">
        <x:v>mail_units</x:v>
      </x:c>
      <x:c r="I97" s="34" t="str">
        <x:v>Resend — $0.9 per 1K email units</x:v>
      </x:c>
      <x:c r="J97" s="34" t="str">
        <x:v>$2 per 1K email units</x:v>
      </x:c>
      <x:c r="K97" s="34" t="str">
        <x:v>Each outbound recipient and each inbound message counts as one email unit.</x:v>
      </x:c>
    </x:row>
    <x:row r="98">
      <x:c r="A98" s="34" t="str">
        <x:v>Multivrs Mail</x:v>
      </x:c>
      <x:c r="B98" s="34" t="str">
        <x:v>Sending &amp; receiving</x:v>
      </x:c>
      <x:c r="C98" s="34" t="str">
        <x:v>Mail volume add-on</x:v>
      </x:c>
      <x:c r="D98" s="34" t="str">
        <x:v>available</x:v>
      </x:c>
      <x:c r="E98" s="34" t="str">
        <x:v>Not included</x:v>
      </x:c>
      <x:c r="F98" s="34" t="str">
        <x:v>5K emails for $10 / month — then $2 per 1K</x:v>
      </x:c>
      <x:c r="G98" s="34" t="str">
        <x:v>Custom</x:v>
      </x:c>
      <x:c r="H98" s="34" t="str">
        <x:v>mail_units</x:v>
      </x:c>
      <x:c r="I98" s="34" t="str">
        <x:v>Resend — $0.9 per 1K email units</x:v>
      </x:c>
      <x:c r="J98" s="34" t="str">
        <x:v>$2 per 1K email units</x:v>
      </x:c>
      <x:c r="K98" s="34" t="str"/>
    </x:row>
    <x:row r="99">
      <x:c r="A99" s="34" t="str">
        <x:v>Multivrs Mail</x:v>
      </x:c>
      <x:c r="B99" s="34" t="str">
        <x:v>Sending &amp; receiving</x:v>
      </x:c>
      <x:c r="C99" s="34" t="str">
        <x:v>REST API &amp; SMTP submission</x:v>
      </x:c>
      <x:c r="D99" s="34" t="str">
        <x:v>available</x:v>
      </x:c>
      <x:c r="E99" s="34" t="str">
        <x:v>REST API</x:v>
      </x:c>
      <x:c r="F99" s="34" t="str">
        <x:v>REST API &amp; SMTP</x:v>
      </x:c>
      <x:c r="G99" s="34" t="str">
        <x:v>Included</x:v>
      </x:c>
      <x:c r="H99" s="34" t="str">
        <x:v>none</x:v>
      </x:c>
      <x:c r="I99" s="34" t="str">
        <x:v>Included platform capability</x:v>
      </x:c>
      <x:c r="J99" s="34" t="str">
        <x:v>Include in base plan; no separate usage line</x:v>
      </x:c>
      <x:c r="K99" s="34" t="str"/>
    </x:row>
    <x:row r="100">
      <x:c r="A100" s="34" t="str">
        <x:v>Multivrs Mail</x:v>
      </x:c>
      <x:c r="B100" s="34" t="str">
        <x:v>Sending &amp; receiving</x:v>
      </x:c>
      <x:c r="C100" s="34" t="str">
        <x:v>Scheduled sending</x:v>
      </x:c>
      <x:c r="D100" s="34" t="str">
        <x:v>available</x:v>
      </x:c>
      <x:c r="E100" s="34" t="str">
        <x:v>Not included</x:v>
      </x:c>
      <x:c r="F100" s="34" t="str">
        <x:v>Included</x:v>
      </x:c>
      <x:c r="G100" s="34" t="str">
        <x:v>Included</x:v>
      </x:c>
      <x:c r="H100" s="34" t="str">
        <x:v>none</x:v>
      </x:c>
      <x:c r="I100" s="34" t="str">
        <x:v>Included platform capability</x:v>
      </x:c>
      <x:c r="J100" s="34" t="str">
        <x:v>Include in base plan; no separate usage line</x:v>
      </x:c>
      <x:c r="K100" s="34" t="str"/>
    </x:row>
    <x:row r="101">
      <x:c r="A101" s="34" t="str">
        <x:v>Multivrs Mail</x:v>
      </x:c>
      <x:c r="B101" s="34" t="str">
        <x:v>Sending &amp; receiving</x:v>
      </x:c>
      <x:c r="C101" s="34" t="str">
        <x:v>Attachments</x:v>
      </x:c>
      <x:c r="D101" s="34" t="str">
        <x:v>available</x:v>
      </x:c>
      <x:c r="E101" s="34" t="str">
        <x:v>10 MB per message</x:v>
      </x:c>
      <x:c r="F101" s="34" t="str">
        <x:v>10 MB per message</x:v>
      </x:c>
      <x:c r="G101" s="34" t="str">
        <x:v>Custom</x:v>
      </x:c>
      <x:c r="H101" s="34" t="str">
        <x:v>none</x:v>
      </x:c>
      <x:c r="I101" s="34" t="str">
        <x:v>Included platform capability</x:v>
      </x:c>
      <x:c r="J101" s="34" t="str">
        <x:v>Include in base plan; no separate usage line</x:v>
      </x:c>
      <x:c r="K101" s="34" t="str">
        <x:v>Multivrs currently enforces a 10 MB attachment total per message.</x:v>
      </x:c>
    </x:row>
    <x:row r="102">
      <x:c r="A102" s="34" t="str">
        <x:v>Multivrs Mail</x:v>
      </x:c>
      <x:c r="B102" s="34" t="str">
        <x:v>Operations &amp; deliverability</x:v>
      </x:c>
      <x:c r="C102" s="34" t="str">
        <x:v>Delivery, bounce &amp; complaint events</x:v>
      </x:c>
      <x:c r="D102" s="34" t="str">
        <x:v>available</x:v>
      </x:c>
      <x:c r="E102" s="34" t="str">
        <x:v>Included</x:v>
      </x:c>
      <x:c r="F102" s="34" t="str">
        <x:v>Included</x:v>
      </x:c>
      <x:c r="G102" s="34" t="str">
        <x:v>Included</x:v>
      </x:c>
      <x:c r="H102" s="34" t="str">
        <x:v>none</x:v>
      </x:c>
      <x:c r="I102" s="34" t="str">
        <x:v>Included platform capability</x:v>
      </x:c>
      <x:c r="J102" s="34" t="str">
        <x:v>Include in base plan; no separate usage line</x:v>
      </x:c>
      <x:c r="K102" s="34" t="str"/>
    </x:row>
    <x:row r="103">
      <x:c r="A103" s="34" t="str">
        <x:v>Multivrs Mail</x:v>
      </x:c>
      <x:c r="B103" s="34" t="str">
        <x:v>Operations &amp; deliverability</x:v>
      </x:c>
      <x:c r="C103" s="34" t="str">
        <x:v>Suppression management</x:v>
      </x:c>
      <x:c r="D103" s="34" t="str">
        <x:v>available</x:v>
      </x:c>
      <x:c r="E103" s="34" t="str">
        <x:v>Included</x:v>
      </x:c>
      <x:c r="F103" s="34" t="str">
        <x:v>Included</x:v>
      </x:c>
      <x:c r="G103" s="34" t="str">
        <x:v>Included</x:v>
      </x:c>
      <x:c r="H103" s="34" t="str">
        <x:v>none</x:v>
      </x:c>
      <x:c r="I103" s="34" t="str">
        <x:v>Included platform capability</x:v>
      </x:c>
      <x:c r="J103" s="34" t="str">
        <x:v>Include in base plan; no separate usage line</x:v>
      </x:c>
      <x:c r="K103" s="34" t="str"/>
    </x:row>
    <x:row r="104">
      <x:c r="A104" s="34" t="str">
        <x:v>Multivrs Mail</x:v>
      </x:c>
      <x:c r="B104" s="34" t="str">
        <x:v>Operations &amp; deliverability</x:v>
      </x:c>
      <x:c r="C104" s="34" t="str">
        <x:v>Reusable templates</x:v>
      </x:c>
      <x:c r="D104" s="34" t="str">
        <x:v>available</x:v>
      </x:c>
      <x:c r="E104" s="34" t="str">
        <x:v>3 templates</x:v>
      </x:c>
      <x:c r="F104" s="34" t="str">
        <x:v>Included</x:v>
      </x:c>
      <x:c r="G104" s="34" t="str">
        <x:v>Included</x:v>
      </x:c>
      <x:c r="H104" s="34" t="str">
        <x:v>none</x:v>
      </x:c>
      <x:c r="I104" s="34" t="str">
        <x:v>Included platform capability</x:v>
      </x:c>
      <x:c r="J104" s="34" t="str">
        <x:v>Include in base plan; no separate usage line</x:v>
      </x:c>
      <x:c r="K104" s="34" t="str"/>
    </x:row>
    <x:row r="105">
      <x:c r="A105" s="34" t="str">
        <x:v>Multivrs Mail</x:v>
      </x:c>
      <x:c r="B105" s="34" t="str">
        <x:v>Operations &amp; deliverability</x:v>
      </x:c>
      <x:c r="C105" s="34" t="str">
        <x:v>Audiences &amp; broadcasts</x:v>
      </x:c>
      <x:c r="D105" s="34" t="str">
        <x:v>available</x:v>
      </x:c>
      <x:c r="E105" s="34" t="str">
        <x:v>Not included</x:v>
      </x:c>
      <x:c r="F105" s="34" t="str">
        <x:v>Included</x:v>
      </x:c>
      <x:c r="G105" s="34" t="str">
        <x:v>Included</x:v>
      </x:c>
      <x:c r="H105" s="34" t="str">
        <x:v>none</x:v>
      </x:c>
      <x:c r="I105" s="34" t="str">
        <x:v>Included platform capability</x:v>
      </x:c>
      <x:c r="J105" s="34" t="str">
        <x:v>Include in base plan; no separate usage line</x:v>
      </x:c>
      <x:c r="K105" s="34" t="str"/>
    </x:row>
    <x:row r="106">
      <x:c r="A106" s="34" t="str">
        <x:v>Multivrs Mail</x:v>
      </x:c>
      <x:c r="B106" s="34" t="str">
        <x:v>Operations &amp; deliverability</x:v>
      </x:c>
      <x:c r="C106" s="34" t="str">
        <x:v>Email automations</x:v>
      </x:c>
      <x:c r="D106" s="34" t="str">
        <x:v>available</x:v>
      </x:c>
      <x:c r="E106" s="34" t="str">
        <x:v>Not included</x:v>
      </x:c>
      <x:c r="F106" s="34" t="str">
        <x:v>Included</x:v>
      </x:c>
      <x:c r="G106" s="34" t="str">
        <x:v>Included</x:v>
      </x:c>
      <x:c r="H106" s="34" t="str">
        <x:v>none</x:v>
      </x:c>
      <x:c r="I106" s="34" t="str">
        <x:v>Included platform capability</x:v>
      </x:c>
      <x:c r="J106" s="34" t="str">
        <x:v>Include in base plan; no separate usage line</x:v>
      </x:c>
      <x:c r="K106" s="34" t="str"/>
    </x:row>
    <x:row r="107">
      <x:c r="A107" s="34" t="str">
        <x:v>Multivrs Mail</x:v>
      </x:c>
      <x:c r="B107" s="34" t="str">
        <x:v>Operations &amp; deliverability</x:v>
      </x:c>
      <x:c r="C107" s="34" t="str">
        <x:v>Signed event webhooks</x:v>
      </x:c>
      <x:c r="D107" s="34" t="str">
        <x:v>available</x:v>
      </x:c>
      <x:c r="E107" s="34" t="str">
        <x:v>1 endpoint</x:v>
      </x:c>
      <x:c r="F107" s="34" t="str">
        <x:v>10 endpoints</x:v>
      </x:c>
      <x:c r="G107" s="34" t="str">
        <x:v>Custom</x:v>
      </x:c>
      <x:c r="H107" s="34" t="str">
        <x:v>none</x:v>
      </x:c>
      <x:c r="I107" s="34" t="str">
        <x:v>Included platform capability</x:v>
      </x:c>
      <x:c r="J107" s="34" t="str">
        <x:v>Include in base plan; no separate usage line</x:v>
      </x:c>
      <x:c r="K107" s="34" t="str"/>
    </x:row>
    <x:row r="108">
      <x:c r="A108" s="34" t="str">
        <x:v>Observability</x:v>
      </x:c>
      <x:c r="B108" s="34" t="str">
        <x:v>Direct feature</x:v>
      </x:c>
      <x:c r="C108" s="34" t="str">
        <x:v>Usage Dashboard</x:v>
      </x:c>
      <x:c r="D108" s="34" t="str">
        <x:v>available</x:v>
      </x:c>
      <x:c r="E108" s="34" t="str">
        <x:v>Included</x:v>
      </x:c>
      <x:c r="F108" s="34" t="str">
        <x:v>Included</x:v>
      </x:c>
      <x:c r="G108" s="34" t="str">
        <x:v>Included</x:v>
      </x:c>
      <x:c r="H108" s="34" t="str">
        <x:v>none</x:v>
      </x:c>
      <x:c r="I108" s="34" t="str">
        <x:v>Included platform capability</x:v>
      </x:c>
      <x:c r="J108" s="34" t="str">
        <x:v>Include in base plan; no separate usage line</x:v>
      </x:c>
      <x:c r="K108" s="34" t="str"/>
    </x:row>
    <x:row r="109">
      <x:c r="A109" s="34" t="str">
        <x:v>Observability</x:v>
      </x:c>
      <x:c r="B109" s="34" t="str">
        <x:v>Direct feature</x:v>
      </x:c>
      <x:c r="C109" s="34" t="str">
        <x:v>Observability</x:v>
      </x:c>
      <x:c r="D109" s="34" t="str">
        <x:v>available</x:v>
      </x:c>
      <x:c r="E109" s="34" t="str">
        <x:v>24 hour window</x:v>
      </x:c>
      <x:c r="F109" s="34" t="str">
        <x:v>7 day window</x:v>
      </x:c>
      <x:c r="G109" s="34" t="str">
        <x:v>Custom</x:v>
      </x:c>
      <x:c r="H109" s="34" t="str">
        <x:v>none</x:v>
      </x:c>
      <x:c r="I109" s="34" t="str">
        <x:v>Included platform capability</x:v>
      </x:c>
      <x:c r="J109" s="34" t="str">
        <x:v>Include in base plan; no separate usage line</x:v>
      </x:c>
      <x:c r="K109" s="34" t="str"/>
    </x:row>
    <x:row r="110">
      <x:c r="A110" s="34" t="str">
        <x:v>Observability</x:v>
      </x:c>
      <x:c r="B110" s="34" t="str">
        <x:v>Observability Plus</x:v>
      </x:c>
      <x:c r="C110" s="34" t="str">
        <x:v>Extended Retention</x:v>
      </x:c>
      <x:c r="D110" s="34" t="str">
        <x:v>preview</x:v>
      </x:c>
      <x:c r="E110" s="34" t="str">
        <x:v>Not included</x:v>
      </x:c>
      <x:c r="F110" s="34" t="str">
        <x:v>Included</x:v>
      </x:c>
      <x:c r="G110" s="34" t="str">
        <x:v>Included</x:v>
      </x:c>
      <x:c r="H110" s="34" t="str">
        <x:v>none</x:v>
      </x:c>
      <x:c r="I110" s="34" t="str">
        <x:v>Included platform capability</x:v>
      </x:c>
      <x:c r="J110" s="34" t="str">
        <x:v>Include in base plan; no separate usage line</x:v>
      </x:c>
      <x:c r="K110" s="34" t="str"/>
    </x:row>
    <x:row r="111">
      <x:c r="A111" s="34" t="str">
        <x:v>Observability</x:v>
      </x:c>
      <x:c r="B111" s="34" t="str">
        <x:v>Observability Plus</x:v>
      </x:c>
      <x:c r="C111" s="34" t="str">
        <x:v>Advanced Metrics</x:v>
      </x:c>
      <x:c r="D111" s="34" t="str">
        <x:v>preview</x:v>
      </x:c>
      <x:c r="E111" s="34" t="str">
        <x:v>Not included</x:v>
      </x:c>
      <x:c r="F111" s="34" t="str">
        <x:v>Included</x:v>
      </x:c>
      <x:c r="G111" s="34" t="str">
        <x:v>Included</x:v>
      </x:c>
      <x:c r="H111" s="34" t="str">
        <x:v>none</x:v>
      </x:c>
      <x:c r="I111" s="34" t="str">
        <x:v>Included platform capability</x:v>
      </x:c>
      <x:c r="J111" s="34" t="str">
        <x:v>Include in base plan; no separate usage line</x:v>
      </x:c>
      <x:c r="K111" s="34" t="str"/>
    </x:row>
    <x:row r="112">
      <x:c r="A112" s="34" t="str">
        <x:v>Observability</x:v>
      </x:c>
      <x:c r="B112" s="34" t="str">
        <x:v>Observability Plus</x:v>
      </x:c>
      <x:c r="C112" s="34" t="str">
        <x:v>Query Engine</x:v>
      </x:c>
      <x:c r="D112" s="34" t="str">
        <x:v>preview</x:v>
      </x:c>
      <x:c r="E112" s="34" t="str">
        <x:v>Not included</x:v>
      </x:c>
      <x:c r="F112" s="34" t="str">
        <x:v>Included</x:v>
      </x:c>
      <x:c r="G112" s="34" t="str">
        <x:v>Included</x:v>
      </x:c>
      <x:c r="H112" s="34" t="str">
        <x:v>none</x:v>
      </x:c>
      <x:c r="I112" s="34" t="str">
        <x:v>Included platform capability</x:v>
      </x:c>
      <x:c r="J112" s="34" t="str">
        <x:v>Include in base plan; no separate usage line</x:v>
      </x:c>
      <x:c r="K112" s="34" t="str"/>
    </x:row>
    <x:row r="113">
      <x:c r="A113" s="34" t="str">
        <x:v>Observability</x:v>
      </x:c>
      <x:c r="B113" s="34" t="str">
        <x:v>Observability Plus</x:v>
      </x:c>
      <x:c r="C113" s="34" t="str">
        <x:v>Alerts</x:v>
      </x:c>
      <x:c r="D113" s="34" t="str">
        <x:v>preview</x:v>
      </x:c>
      <x:c r="E113" s="34" t="str">
        <x:v>Not included</x:v>
      </x:c>
      <x:c r="F113" s="34" t="str">
        <x:v>Included</x:v>
      </x:c>
      <x:c r="G113" s="34" t="str">
        <x:v>Included</x:v>
      </x:c>
      <x:c r="H113" s="34" t="str">
        <x:v>none</x:v>
      </x:c>
      <x:c r="I113" s="34" t="str">
        <x:v>Included platform capability</x:v>
      </x:c>
      <x:c r="J113" s="34" t="str">
        <x:v>Include in base plan; no separate usage line</x:v>
      </x:c>
      <x:c r="K113" s="34" t="str"/>
    </x:row>
    <x:row r="114">
      <x:c r="A114" s="34" t="str">
        <x:v>Observability</x:v>
      </x:c>
      <x:c r="B114" s="34" t="str">
        <x:v>Direct feature</x:v>
      </x:c>
      <x:c r="C114" s="34" t="str">
        <x:v>Speed Insights</x:v>
      </x:c>
      <x:c r="D114" s="34" t="str">
        <x:v>available</x:v>
      </x:c>
      <x:c r="E114" s="34" t="str">
        <x:v>10K vitals / month — hard limit</x:v>
      </x:c>
      <x:c r="F114" s="34" t="str">
        <x:v>100K vitals / month — then $0.75 per 1M events</x:v>
      </x:c>
      <x:c r="G114" s="34" t="str">
        <x:v>Custom</x:v>
      </x:c>
      <x:c r="H114" s="34" t="str">
        <x:v>analytics_writes</x:v>
      </x:c>
      <x:c r="I114" s="34" t="str">
        <x:v>Cloudflare Analytics Engine — $0.25 per 1M events</x:v>
      </x:c>
      <x:c r="J114" s="34" t="str">
        <x:v>$0.75 per 1M events</x:v>
      </x:c>
      <x:c r="K114" s="34" t="str"/>
    </x:row>
    <x:row r="115">
      <x:c r="A115" s="34" t="str">
        <x:v>Observability</x:v>
      </x:c>
      <x:c r="B115" s="34" t="str">
        <x:v>Direct feature</x:v>
      </x:c>
      <x:c r="C115" s="34" t="str">
        <x:v>Web Analytics</x:v>
      </x:c>
      <x:c r="D115" s="34" t="str">
        <x:v>available</x:v>
      </x:c>
      <x:c r="E115" s="34" t="str">
        <x:v>100K events / month — hard limit</x:v>
      </x:c>
      <x:c r="F115" s="34" t="str">
        <x:v>1M events / month — then $0.75 per 1M</x:v>
      </x:c>
      <x:c r="G115" s="34" t="str">
        <x:v>Custom</x:v>
      </x:c>
      <x:c r="H115" s="34" t="str">
        <x:v>analytics_writes</x:v>
      </x:c>
      <x:c r="I115" s="34" t="str">
        <x:v>Cloudflare Analytics Engine — $0.25 per 1M events</x:v>
      </x:c>
      <x:c r="J115" s="34" t="str">
        <x:v>$0.75 per 1M events</x:v>
      </x:c>
      <x:c r="K115" s="34" t="str"/>
    </x:row>
    <x:row r="116">
      <x:c r="A116" s="34" t="str">
        <x:v>Observability</x:v>
      </x:c>
      <x:c r="B116" s="34" t="str">
        <x:v>Web Analytics Plus</x:v>
      </x:c>
      <x:c r="C116" s="34" t="str">
        <x:v>Reporting Windows</x:v>
      </x:c>
      <x:c r="D116" s="34" t="str">
        <x:v>available</x:v>
      </x:c>
      <x:c r="E116" s="34" t="str">
        <x:v>24 hours</x:v>
      </x:c>
      <x:c r="F116" s="34" t="str">
        <x:v>30 days</x:v>
      </x:c>
      <x:c r="G116" s="34" t="str">
        <x:v>Custom</x:v>
      </x:c>
      <x:c r="H116" s="34" t="str">
        <x:v>analytics_writes</x:v>
      </x:c>
      <x:c r="I116" s="34" t="str">
        <x:v>Cloudflare Analytics Engine — $0.25 per 1M events</x:v>
      </x:c>
      <x:c r="J116" s="34" t="str">
        <x:v>$0.75 per 1M events</x:v>
      </x:c>
      <x:c r="K116" s="34" t="str"/>
    </x:row>
    <x:row r="117">
      <x:c r="A117" s="34" t="str">
        <x:v>Observability</x:v>
      </x:c>
      <x:c r="B117" s="34" t="str">
        <x:v>Web Analytics Plus</x:v>
      </x:c>
      <x:c r="C117" s="34" t="str">
        <x:v>UTM Parameters</x:v>
      </x:c>
      <x:c r="D117" s="34" t="str">
        <x:v>available</x:v>
      </x:c>
      <x:c r="E117" s="34" t="str">
        <x:v>Not included</x:v>
      </x:c>
      <x:c r="F117" s="34" t="str">
        <x:v>Included</x:v>
      </x:c>
      <x:c r="G117" s="34" t="str">
        <x:v>Included</x:v>
      </x:c>
      <x:c r="H117" s="34" t="str">
        <x:v>analytics_writes</x:v>
      </x:c>
      <x:c r="I117" s="34" t="str">
        <x:v>Cloudflare Analytics Engine — $0.25 per 1M events</x:v>
      </x:c>
      <x:c r="J117" s="34" t="str">
        <x:v>$0.75 per 1M events</x:v>
      </x:c>
      <x:c r="K117" s="34" t="str"/>
    </x:row>
    <x:row r="118">
      <x:c r="A118" s="34" t="str">
        <x:v>Observability</x:v>
      </x:c>
      <x:c r="B118" s="34" t="str">
        <x:v>Direct feature</x:v>
      </x:c>
      <x:c r="C118" s="34" t="str">
        <x:v>Runtime Logs</x:v>
      </x:c>
      <x:c r="D118" s="34" t="str">
        <x:v>available</x:v>
      </x:c>
      <x:c r="E118" s="34" t="str">
        <x:v>1 day retention</x:v>
      </x:c>
      <x:c r="F118" s="34" t="str">
        <x:v>7 day retention</x:v>
      </x:c>
      <x:c r="G118" s="34" t="str">
        <x:v>Custom</x:v>
      </x:c>
      <x:c r="H118" s="34" t="str">
        <x:v>workers_logs</x:v>
      </x:c>
      <x:c r="I118" s="34" t="str">
        <x:v>Cloudflare Workers Logs — $0.6 per 1M log events</x:v>
      </x:c>
      <x:c r="J118" s="34" t="str">
        <x:v>$1.5 per 1M log events</x:v>
      </x:c>
      <x:c r="K118" s="34" t="str"/>
    </x:row>
    <x:row r="119">
      <x:c r="A119" s="34" t="str">
        <x:v>Observability</x:v>
      </x:c>
      <x:c r="B119" s="34" t="str">
        <x:v>Direct feature</x:v>
      </x:c>
      <x:c r="C119" s="34" t="str">
        <x:v>Session Tracing</x:v>
      </x:c>
      <x:c r="D119" s="34" t="str">
        <x:v>preview</x:v>
      </x:c>
      <x:c r="E119" s="34" t="str">
        <x:v>Not included</x:v>
      </x:c>
      <x:c r="F119" s="34" t="str">
        <x:v>Included</x:v>
      </x:c>
      <x:c r="G119" s="34" t="str">
        <x:v>Included</x:v>
      </x:c>
      <x:c r="H119" s="34" t="str">
        <x:v>trace_events</x:v>
      </x:c>
      <x:c r="I119" s="34" t="str">
        <x:v>Cloudflare Workers Traces — $0.6 per 1M spans/events</x:v>
      </x:c>
      <x:c r="J119" s="34" t="str">
        <x:v>$1.5 per 1M spans/events</x:v>
      </x:c>
      <x:c r="K119" s="34" t="str"/>
    </x:row>
    <x:row r="120">
      <x:c r="A120" s="34" t="str">
        <x:v>Observability</x:v>
      </x:c>
      <x:c r="B120" s="34" t="str">
        <x:v>Direct feature</x:v>
      </x:c>
      <x:c r="C120" s="34" t="str">
        <x:v>Log Drains</x:v>
      </x:c>
      <x:c r="D120" s="34" t="str">
        <x:v>preview</x:v>
      </x:c>
      <x:c r="E120" s="34" t="str">
        <x:v>Not included</x:v>
      </x:c>
      <x:c r="F120" s="34" t="str">
        <x:v>1 drain · Preview</x:v>
      </x:c>
      <x:c r="G120" s="34" t="str">
        <x:v>Included</x:v>
      </x:c>
      <x:c r="H120" s="34" t="str">
        <x:v>workers_logs</x:v>
      </x:c>
      <x:c r="I120" s="34" t="str">
        <x:v>Cloudflare Workers Logs — $0.6 per 1M log events</x:v>
      </x:c>
      <x:c r="J120" s="34" t="str">
        <x:v>$1.5 per 1M log events</x:v>
      </x:c>
      <x:c r="K120" s="34" t="str"/>
    </x:row>
    <x:row r="121">
      <x:c r="A121" s="34" t="str">
        <x:v>Access, Security &amp; Compliance</x:v>
      </x:c>
      <x:c r="B121" s="34" t="str">
        <x:v>Access Security</x:v>
      </x:c>
      <x:c r="C121" s="34" t="str">
        <x:v>Multi-Factor Authentication (MFA)</x:v>
      </x:c>
      <x:c r="D121" s="34" t="str">
        <x:v>available</x:v>
      </x:c>
      <x:c r="E121" s="34" t="str">
        <x:v>Included</x:v>
      </x:c>
      <x:c r="F121" s="34" t="str">
        <x:v>Included</x:v>
      </x:c>
      <x:c r="G121" s="34" t="str">
        <x:v>Included</x:v>
      </x:c>
      <x:c r="H121" s="34" t="str">
        <x:v>none</x:v>
      </x:c>
      <x:c r="I121" s="34" t="str">
        <x:v>Included platform capability</x:v>
      </x:c>
      <x:c r="J121" s="34" t="str">
        <x:v>Include in base plan; no separate usage line</x:v>
      </x:c>
      <x:c r="K121" s="34" t="str"/>
    </x:row>
    <x:row r="122">
      <x:c r="A122" s="34" t="str">
        <x:v>Access, Security &amp; Compliance</x:v>
      </x:c>
      <x:c r="B122" s="34" t="str">
        <x:v>Access Security</x:v>
      </x:c>
      <x:c r="C122" s="34" t="str">
        <x:v>Role-Based Access Control</x:v>
      </x:c>
      <x:c r="D122" s="34" t="str">
        <x:v>preview</x:v>
      </x:c>
      <x:c r="E122" s="34" t="str">
        <x:v>Not included</x:v>
      </x:c>
      <x:c r="F122" s="34" t="str">
        <x:v>Included</x:v>
      </x:c>
      <x:c r="G122" s="34" t="str">
        <x:v>Included</x:v>
      </x:c>
      <x:c r="H122" s="34" t="str">
        <x:v>none</x:v>
      </x:c>
      <x:c r="I122" s="34" t="str">
        <x:v>Included platform capability</x:v>
      </x:c>
      <x:c r="J122" s="34" t="str">
        <x:v>Include in base plan; no separate usage line</x:v>
      </x:c>
      <x:c r="K122" s="34" t="str"/>
    </x:row>
    <x:row r="123">
      <x:c r="A123" s="34" t="str">
        <x:v>Access, Security &amp; Compliance</x:v>
      </x:c>
      <x:c r="B123" s="34" t="str">
        <x:v>Access Security</x:v>
      </x:c>
      <x:c r="C123" s="34" t="str">
        <x:v>Audit Logs</x:v>
      </x:c>
      <x:c r="D123" s="34" t="str">
        <x:v>available</x:v>
      </x:c>
      <x:c r="E123" s="34" t="str">
        <x:v>1 day retention</x:v>
      </x:c>
      <x:c r="F123" s="34" t="str">
        <x:v>30 day retention</x:v>
      </x:c>
      <x:c r="G123" s="34" t="str">
        <x:v>Custom</x:v>
      </x:c>
      <x:c r="H123" s="34" t="str">
        <x:v>workers_logs</x:v>
      </x:c>
      <x:c r="I123" s="34" t="str">
        <x:v>Cloudflare Workers Logs — $0.6 per 1M log events</x:v>
      </x:c>
      <x:c r="J123" s="34" t="str">
        <x:v>$1.5 per 1M log events</x:v>
      </x:c>
      <x:c r="K123" s="34" t="str"/>
    </x:row>
    <x:row r="124">
      <x:c r="A124" s="34" t="str">
        <x:v>Access, Security &amp; Compliance</x:v>
      </x:c>
      <x:c r="B124" s="34" t="str">
        <x:v>Access Security</x:v>
      </x:c>
      <x:c r="C124" s="34" t="str">
        <x:v>SAML Single Sign-On (SSO)</x:v>
      </x:c>
      <x:c r="D124" s="34" t="str">
        <x:v>infrastructureRequired</x:v>
      </x:c>
      <x:c r="E124" s="34" t="str">
        <x:v>Not included</x:v>
      </x:c>
      <x:c r="F124" s="34" t="str">
        <x:v>Not included</x:v>
      </x:c>
      <x:c r="G124" s="34" t="str">
        <x:v>Not included</x:v>
      </x:c>
      <x:c r="H124" s="34" t="str">
        <x:v>none</x:v>
      </x:c>
      <x:c r="I124" s="34" t="str">
        <x:v>Provider contract / implementation cost; public unit rate unavailable</x:v>
      </x:c>
      <x:c r="J124" s="34" t="str">
        <x:v>Enterprise only; obtain vendor quote, add support/risk reserve and target margin</x:v>
      </x:c>
      <x:c r="K124" s="34" t="str"/>
    </x:row>
    <x:row r="125">
      <x:c r="A125" s="34" t="str">
        <x:v>Access, Security &amp; Compliance</x:v>
      </x:c>
      <x:c r="B125" s="34" t="str">
        <x:v>Access Security</x:v>
      </x:c>
      <x:c r="C125" s="34" t="str">
        <x:v>Directory Sync (SCIM)</x:v>
      </x:c>
      <x:c r="D125" s="34" t="str">
        <x:v>infrastructureRequired</x:v>
      </x:c>
      <x:c r="E125" s="34" t="str">
        <x:v>Not included</x:v>
      </x:c>
      <x:c r="F125" s="34" t="str">
        <x:v>Not included</x:v>
      </x:c>
      <x:c r="G125" s="34" t="str">
        <x:v>Not included</x:v>
      </x:c>
      <x:c r="H125" s="34" t="str">
        <x:v>none</x:v>
      </x:c>
      <x:c r="I125" s="34" t="str">
        <x:v>Provider contract / implementation cost; public unit rate unavailable</x:v>
      </x:c>
      <x:c r="J125" s="34" t="str">
        <x:v>Enterprise only; obtain vendor quote, add support/risk reserve and target margin</x:v>
      </x:c>
      <x:c r="K125" s="34" t="str"/>
    </x:row>
    <x:row r="126">
      <x:c r="A126" s="34" t="str">
        <x:v>Access, Security &amp; Compliance</x:v>
      </x:c>
      <x:c r="B126" s="34" t="str">
        <x:v>Deployment Protection</x:v>
      </x:c>
      <x:c r="C126" s="34" t="str">
        <x:v>Advanced Deployment Protection</x:v>
      </x:c>
      <x:c r="D126" s="34" t="str">
        <x:v>infrastructureRequired</x:v>
      </x:c>
      <x:c r="E126" s="34" t="str">
        <x:v>Not included</x:v>
      </x:c>
      <x:c r="F126" s="34" t="str">
        <x:v>Not included</x:v>
      </x:c>
      <x:c r="G126" s="34" t="str">
        <x:v>Not included</x:v>
      </x:c>
      <x:c r="H126" s="34" t="str">
        <x:v>none</x:v>
      </x:c>
      <x:c r="I126" s="34" t="str">
        <x:v>Provider contract / implementation cost; public unit rate unavailable</x:v>
      </x:c>
      <x:c r="J126" s="34" t="str">
        <x:v>Enterprise only; obtain vendor quote, add support/risk reserve and target margin</x:v>
      </x:c>
      <x:c r="K126" s="34" t="str"/>
    </x:row>
    <x:row r="127">
      <x:c r="A127" s="34" t="str">
        <x:v>Access, Security &amp; Compliance</x:v>
      </x:c>
      <x:c r="B127" s="34" t="str">
        <x:v>Deployment Protection</x:v>
      </x:c>
      <x:c r="C127" s="34" t="str">
        <x:v>SSO Protected Previews</x:v>
      </x:c>
      <x:c r="D127" s="34" t="str">
        <x:v>infrastructureRequired</x:v>
      </x:c>
      <x:c r="E127" s="34" t="str">
        <x:v>Not included</x:v>
      </x:c>
      <x:c r="F127" s="34" t="str">
        <x:v>Not included</x:v>
      </x:c>
      <x:c r="G127" s="34" t="str">
        <x:v>Not included</x:v>
      </x:c>
      <x:c r="H127" s="34" t="str">
        <x:v>none</x:v>
      </x:c>
      <x:c r="I127" s="34" t="str">
        <x:v>Provider contract / implementation cost; public unit rate unavailable</x:v>
      </x:c>
      <x:c r="J127" s="34" t="str">
        <x:v>Enterprise only; obtain vendor quote, add support/risk reserve and target margin</x:v>
      </x:c>
      <x:c r="K127" s="34" t="str"/>
    </x:row>
    <x:row r="128">
      <x:c r="A128" s="34" t="str">
        <x:v>Access, Security &amp; Compliance</x:v>
      </x:c>
      <x:c r="B128" s="34" t="str">
        <x:v>Deployment Protection</x:v>
      </x:c>
      <x:c r="C128" s="34" t="str">
        <x:v>Static IPs</x:v>
      </x:c>
      <x:c r="D128" s="34" t="str">
        <x:v>infrastructureRequired</x:v>
      </x:c>
      <x:c r="E128" s="34" t="str">
        <x:v>Not included</x:v>
      </x:c>
      <x:c r="F128" s="34" t="str">
        <x:v>Not included</x:v>
      </x:c>
      <x:c r="G128" s="34" t="str">
        <x:v>Not included</x:v>
      </x:c>
      <x:c r="H128" s="34" t="str">
        <x:v>none</x:v>
      </x:c>
      <x:c r="I128" s="34" t="str">
        <x:v>Provider contract / implementation cost; public unit rate unavailable</x:v>
      </x:c>
      <x:c r="J128" s="34" t="str">
        <x:v>Enterprise only; obtain vendor quote, add support/risk reserve and target margin</x:v>
      </x:c>
      <x:c r="K128" s="34" t="str"/>
    </x:row>
    <x:row r="129">
      <x:c r="A129" s="34" t="str">
        <x:v>Access, Security &amp; Compliance</x:v>
      </x:c>
      <x:c r="B129" s="34" t="str">
        <x:v>Deployment Protection</x:v>
      </x:c>
      <x:c r="C129" s="34" t="str">
        <x:v>Secure Compute</x:v>
      </x:c>
      <x:c r="D129" s="34" t="str">
        <x:v>preview</x:v>
      </x:c>
      <x:c r="E129" s="34" t="str">
        <x:v>Not included</x:v>
      </x:c>
      <x:c r="F129" s="34" t="str">
        <x:v>Included</x:v>
      </x:c>
      <x:c r="G129" s="34" t="str">
        <x:v>Included</x:v>
      </x:c>
      <x:c r="H129" s="34" t="str">
        <x:v>none</x:v>
      </x:c>
      <x:c r="I129" s="34" t="str">
        <x:v>Included platform capability</x:v>
      </x:c>
      <x:c r="J129" s="34" t="str">
        <x:v>Include in base plan; no separate usage line</x:v>
      </x:c>
      <x:c r="K129" s="34" t="str"/>
    </x:row>
    <x:row r="130">
      <x:c r="A130" s="34" t="str">
        <x:v>Access, Security &amp; Compliance</x:v>
      </x:c>
      <x:c r="B130" s="34" t="str">
        <x:v>Deployment Protection</x:v>
      </x:c>
      <x:c r="C130" s="34" t="str">
        <x:v>BYOC</x:v>
      </x:c>
      <x:c r="D130" s="34" t="str">
        <x:v>infrastructureRequired</x:v>
      </x:c>
      <x:c r="E130" s="34" t="str">
        <x:v>Not included</x:v>
      </x:c>
      <x:c r="F130" s="34" t="str">
        <x:v>Not included</x:v>
      </x:c>
      <x:c r="G130" s="34" t="str">
        <x:v>Not included</x:v>
      </x:c>
      <x:c r="H130" s="34" t="str">
        <x:v>none</x:v>
      </x:c>
      <x:c r="I130" s="34" t="str">
        <x:v>Provider contract / implementation cost; public unit rate unavailable</x:v>
      </x:c>
      <x:c r="J130" s="34" t="str">
        <x:v>Enterprise only; obtain vendor quote, add support/risk reserve and target margin</x:v>
      </x:c>
      <x:c r="K130" s="34" t="str"/>
    </x:row>
    <x:row r="131">
      <x:c r="A131" s="34" t="str">
        <x:v>Access, Security &amp; Compliance</x:v>
      </x:c>
      <x:c r="B131" s="34" t="str">
        <x:v>Compliance</x:v>
      </x:c>
      <x:c r="C131" s="34" t="str">
        <x:v>SOC 2 Type 2</x:v>
      </x:c>
      <x:c r="D131" s="34" t="str">
        <x:v>infrastructureRequired</x:v>
      </x:c>
      <x:c r="E131" s="34" t="str">
        <x:v>Not included</x:v>
      </x:c>
      <x:c r="F131" s="34" t="str">
        <x:v>Not included</x:v>
      </x:c>
      <x:c r="G131" s="34" t="str">
        <x:v>Not included</x:v>
      </x:c>
      <x:c r="H131" s="34" t="str">
        <x:v>none</x:v>
      </x:c>
      <x:c r="I131" s="34" t="str">
        <x:v>Provider contract / implementation cost; public unit rate unavailable</x:v>
      </x:c>
      <x:c r="J131" s="34" t="str">
        <x:v>Enterprise only; obtain vendor quote, add support/risk reserve and target margin</x:v>
      </x:c>
      <x:c r="K131" s="34" t="str"/>
    </x:row>
    <x:row r="132">
      <x:c r="A132" s="34" t="str">
        <x:v>Access, Security &amp; Compliance</x:v>
      </x:c>
      <x:c r="B132" s="34" t="str">
        <x:v>Compliance</x:v>
      </x:c>
      <x:c r="C132" s="34" t="str">
        <x:v>PCI DSS</x:v>
      </x:c>
      <x:c r="D132" s="34" t="str">
        <x:v>infrastructureRequired</x:v>
      </x:c>
      <x:c r="E132" s="34" t="str">
        <x:v>Not included</x:v>
      </x:c>
      <x:c r="F132" s="34" t="str">
        <x:v>Not included</x:v>
      </x:c>
      <x:c r="G132" s="34" t="str">
        <x:v>Not included</x:v>
      </x:c>
      <x:c r="H132" s="34" t="str">
        <x:v>none</x:v>
      </x:c>
      <x:c r="I132" s="34" t="str">
        <x:v>Provider contract / implementation cost; public unit rate unavailable</x:v>
      </x:c>
      <x:c r="J132" s="34" t="str">
        <x:v>Enterprise only; obtain vendor quote, add support/risk reserve and target margin</x:v>
      </x:c>
      <x:c r="K132" s="34" t="str"/>
    </x:row>
    <x:row r="133">
      <x:c r="A133" s="34" t="str">
        <x:v>Access, Security &amp; Compliance</x:v>
      </x:c>
      <x:c r="B133" s="34" t="str">
        <x:v>Compliance</x:v>
      </x:c>
      <x:c r="C133" s="34" t="str">
        <x:v>ISO 27001</x:v>
      </x:c>
      <x:c r="D133" s="34" t="str">
        <x:v>infrastructureRequired</x:v>
      </x:c>
      <x:c r="E133" s="34" t="str">
        <x:v>Not included</x:v>
      </x:c>
      <x:c r="F133" s="34" t="str">
        <x:v>Not included</x:v>
      </x:c>
      <x:c r="G133" s="34" t="str">
        <x:v>Not included</x:v>
      </x:c>
      <x:c r="H133" s="34" t="str">
        <x:v>none</x:v>
      </x:c>
      <x:c r="I133" s="34" t="str">
        <x:v>Provider contract / implementation cost; public unit rate unavailable</x:v>
      </x:c>
      <x:c r="J133" s="34" t="str">
        <x:v>Enterprise only; obtain vendor quote, add support/risk reserve and target margin</x:v>
      </x:c>
      <x:c r="K133" s="34" t="str"/>
    </x:row>
    <x:row r="134">
      <x:c r="A134" s="34" t="str">
        <x:v>Access, Security &amp; Compliance</x:v>
      </x:c>
      <x:c r="B134" s="34" t="str">
        <x:v>Compliance</x:v>
      </x:c>
      <x:c r="C134" s="34" t="str">
        <x:v>EU-U.S. DPF</x:v>
      </x:c>
      <x:c r="D134" s="34" t="str">
        <x:v>infrastructureRequired</x:v>
      </x:c>
      <x:c r="E134" s="34" t="str">
        <x:v>Not included</x:v>
      </x:c>
      <x:c r="F134" s="34" t="str">
        <x:v>Not included</x:v>
      </x:c>
      <x:c r="G134" s="34" t="str">
        <x:v>Not included</x:v>
      </x:c>
      <x:c r="H134" s="34" t="str">
        <x:v>none</x:v>
      </x:c>
      <x:c r="I134" s="34" t="str">
        <x:v>Provider contract / implementation cost; public unit rate unavailable</x:v>
      </x:c>
      <x:c r="J134" s="34" t="str">
        <x:v>Enterprise only; obtain vendor quote, add support/risk reserve and target margin</x:v>
      </x:c>
      <x:c r="K134" s="34" t="str"/>
    </x:row>
    <x:row r="135">
      <x:c r="A135" s="34" t="str">
        <x:v>Access, Security &amp; Compliance</x:v>
      </x:c>
      <x:c r="B135" s="34" t="str">
        <x:v>Compliance</x:v>
      </x:c>
      <x:c r="C135" s="34" t="str">
        <x:v>HIPAA BAA</x:v>
      </x:c>
      <x:c r="D135" s="34" t="str">
        <x:v>infrastructureRequired</x:v>
      </x:c>
      <x:c r="E135" s="34" t="str">
        <x:v>Not included</x:v>
      </x:c>
      <x:c r="F135" s="34" t="str">
        <x:v>Not included</x:v>
      </x:c>
      <x:c r="G135" s="34" t="str">
        <x:v>Not included</x:v>
      </x:c>
      <x:c r="H135" s="34" t="str">
        <x:v>none</x:v>
      </x:c>
      <x:c r="I135" s="34" t="str">
        <x:v>Provider contract / implementation cost; public unit rate unavailable</x:v>
      </x:c>
      <x:c r="J135" s="34" t="str">
        <x:v>Enterprise only; obtain vendor quote, add support/risk reserve and target margin</x:v>
      </x:c>
      <x:c r="K135" s="34" t="str"/>
    </x:row>
    <x:row r="136">
      <x:c r="A136" s="34" t="str">
        <x:v>Access, Security &amp; Compliance</x:v>
      </x:c>
      <x:c r="B136" s="34" t="str">
        <x:v>Compliance</x:v>
      </x:c>
      <x:c r="C136" s="34" t="str">
        <x:v>TISAX</x:v>
      </x:c>
      <x:c r="D136" s="34" t="str">
        <x:v>infrastructureRequired</x:v>
      </x:c>
      <x:c r="E136" s="34" t="str">
        <x:v>Not included</x:v>
      </x:c>
      <x:c r="F136" s="34" t="str">
        <x:v>Not included</x:v>
      </x:c>
      <x:c r="G136" s="34" t="str">
        <x:v>Not included</x:v>
      </x:c>
      <x:c r="H136" s="34" t="str">
        <x:v>none</x:v>
      </x:c>
      <x:c r="I136" s="34" t="str">
        <x:v>Provider contract / implementation cost; public unit rate unavailable</x:v>
      </x:c>
      <x:c r="J136" s="34" t="str">
        <x:v>Enterprise only; obtain vendor quote, add support/risk reserve and target margin</x:v>
      </x:c>
      <x:c r="K136" s="34" t="str"/>
    </x:row>
    <x:row r="137">
      <x:c r="A137" s="34" t="str">
        <x:v>Access, Security &amp; Compliance</x:v>
      </x:c>
      <x:c r="B137" s="34" t="str">
        <x:v>Compliance</x:v>
      </x:c>
      <x:c r="C137" s="34" t="str">
        <x:v>Custom Security Questionnaire</x:v>
      </x:c>
      <x:c r="D137" s="34" t="str">
        <x:v>available</x:v>
      </x:c>
      <x:c r="E137" s="34" t="str">
        <x:v>Not included</x:v>
      </x:c>
      <x:c r="F137" s="34" t="str">
        <x:v>Not included</x:v>
      </x:c>
      <x:c r="G137" s="34" t="str">
        <x:v>Included</x:v>
      </x:c>
      <x:c r="H137" s="34" t="str">
        <x:v>none</x:v>
      </x:c>
      <x:c r="I137" s="34" t="str">
        <x:v>Included platform capability</x:v>
      </x:c>
      <x:c r="J137" s="34" t="str">
        <x:v>Include in base plan; no separate usage line</x:v>
      </x:c>
      <x:c r="K137" s="34" t="str"/>
    </x:row>
  </x:sheetData>
  <x:mergeCells>
    <x:mergeCell ref="A1:K1"/>
    <x:mergeCell ref="A2:K2"/>
  </x:mergeCells>
  <x:conditionalFormatting sqref="D5:D137">
    <x:cfRule type="expression" dxfId="3" priority="1">
      <x:formula>D5="infrastructureRequired"</x:formula>
    </x:cfRule>
  </x:conditionalFormatting>
  <x:conditionalFormatting sqref="H5:H137">
    <x:cfRule type="expression" dxfId="4" priority="2">
      <x:formula>H5&lt;&gt;"none"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58" hidden="0" customWidth="1"/>
  </x:cols>
  <x:sheetData>
    <x:row r="1" ht="34" customHeight="1">
      <x:c r="A1" s="29" t="str">
        <x:v>Fixed Costs, Add-ons &amp; Financial Fees</x:v>
      </x:c>
      <x:c r="B1" s="29" t="str">
        <x:v>Fixed Costs, Add-ons &amp; Financial Fees</x:v>
      </x:c>
      <x:c r="C1" s="29" t="str">
        <x:v>Fixed Costs, Add-ons &amp; Financial Fees</x:v>
      </x:c>
      <x:c r="D1" s="29" t="str">
        <x:v>Fixed Costs, Add-ons &amp; Financial Fees</x:v>
      </x:c>
      <x:c r="E1" s="29" t="str">
        <x:v>Fixed Costs, Add-ons &amp; Financial Fees</x:v>
      </x:c>
      <x:c r="F1" s="29" t="str">
        <x:v>Fixed Costs, Add-ons &amp; Financial Fees</x:v>
      </x:c>
      <x:c r="G1" s="29" t="str">
        <x:v>Fixed Costs, Add-ons &amp; Financial Fees</x:v>
      </x:c>
    </x:row>
    <x:row r="2" ht="30" customHeight="1">
      <x:c r="A2" s="30" t="str">
        <x:v>These costs cannot be reliably allocated to a single feature unit. Include them in the platform fee, add-on price, or enterprise vendor quote.</x:v>
      </x:c>
      <x:c r="B2" s="30" t="str">
        <x:v>These costs cannot be reliably allocated to a single feature unit. Include them in the platform fee, add-on price, or enterprise vendor quote.</x:v>
      </x:c>
      <x:c r="C2" s="30" t="str">
        <x:v>These costs cannot be reliably allocated to a single feature unit. Include them in the platform fee, add-on price, or enterprise vendor quote.</x:v>
      </x:c>
      <x:c r="D2" s="30" t="str">
        <x:v>These costs cannot be reliably allocated to a single feature unit. Include them in the platform fee, add-on price, or enterprise vendor quote.</x:v>
      </x:c>
      <x:c r="E2" s="30" t="str">
        <x:v>These costs cannot be reliably allocated to a single feature unit. Include them in the platform fee, add-on price, or enterprise vendor quote.</x:v>
      </x:c>
      <x:c r="F2" s="30" t="str">
        <x:v>These costs cannot be reliably allocated to a single feature unit. Include them in the platform fee, add-on price, or enterprise vendor quote.</x:v>
      </x:c>
      <x:c r="G2" s="30" t="str">
        <x:v>These costs cannot be reliably allocated to a single feature unit. Include them in the platform fee, add-on price, or enterprise vendor quote.</x:v>
      </x:c>
    </x:row>
    <x:row r="3">
      <x:c r="A3" s="31"/>
      <x:c r="B3" s="31"/>
      <x:c r="C3" s="31"/>
      <x:c r="D3" s="31"/>
      <x:c r="E3" s="31"/>
      <x:c r="F3" s="31"/>
      <x:c r="G3" s="31"/>
    </x:row>
    <x:row r="4" ht="28" customHeight="1">
      <x:c r="A4" s="33" t="str">
        <x:v>Item</x:v>
      </x:c>
      <x:c r="B4" s="33" t="str">
        <x:v>Provider</x:v>
      </x:c>
      <x:c r="C4" s="33" t="str">
        <x:v>Provider charge</x:v>
      </x:c>
      <x:c r="D4" s="33" t="str">
        <x:v>Recommended customer treatment</x:v>
      </x:c>
      <x:c r="E4" s="33" t="str">
        <x:v>Stripe product?</x:v>
      </x:c>
      <x:c r="F4" s="33" t="str">
        <x:v>Public or quote</x:v>
      </x:c>
      <x:c r="G4" s="33" t="str">
        <x:v>Source / note</x:v>
      </x:c>
    </x:row>
    <x:row r="5">
      <x:c r="A5" s="34" t="str">
        <x:v>Workers Paid account</x:v>
      </x:c>
      <x:c r="B5" s="34" t="str">
        <x:v>Cloudflare</x:v>
      </x:c>
      <x:c r="C5" s="34" t="str">
        <x:v>$5 / month minimum</x:v>
      </x:c>
      <x:c r="D5" s="34" t="str">
        <x:v>Platform overhead; include in all paid-plan economics</x:v>
      </x:c>
      <x:c r="E5" s="34" t="str">
        <x:v>No</x:v>
      </x:c>
      <x:c r="F5" s="34" t="str">
        <x:v>Public</x:v>
      </x:c>
      <x:c r="G5" s="34" t="str">
        <x:v>https://developers.cloudflare.com/workers/platform/pricing/</x:v>
      </x:c>
    </x:row>
    <x:row r="6">
      <x:c r="A6" s="34" t="str">
        <x:v>Resend Pro</x:v>
      </x:c>
      <x:c r="B6" s="34" t="str">
        <x:v>Resend</x:v>
      </x:c>
      <x:c r="C6" s="34" t="str">
        <x:v>$20 / month; 50K email units</x:v>
      </x:c>
      <x:c r="D6" s="34" t="str">
        <x:v>Platform/mail base overhead</x:v>
      </x:c>
      <x:c r="E6" s="34" t="str">
        <x:v>No</x:v>
      </x:c>
      <x:c r="F6" s="34" t="str">
        <x:v>Public</x:v>
      </x:c>
      <x:c r="G6" s="34" t="str">
        <x:v>https://resend.com/pricing</x:v>
      </x:c>
    </x:row>
    <x:row r="7">
      <x:c r="A7" s="34" t="str">
        <x:v>Multivrs Mail Volume</x:v>
      </x:c>
      <x:c r="B7" s="34" t="str">
        <x:v>Multivrs</x:v>
      </x:c>
      <x:c r="C7" s="34" t="str">
        <x:v>$10 / month customer add-on</x:v>
      </x:c>
      <x:c r="D7" s="34" t="str">
        <x:v>5,000 additional sent/received email units</x:v>
      </x:c>
      <x:c r="E7" s="34" t="str">
        <x:v>Yes — flat recurring</x:v>
      </x:c>
      <x:c r="F7" s="34" t="str">
        <x:v>Internal policy</x:v>
      </x:c>
      <x:c r="G7" s="34" t="str">
        <x:v>multivrs_mail_volume_monthly</x:v>
      </x:c>
    </x:row>
    <x:row r="8">
      <x:c r="A8" s="34" t="str">
        <x:v>Dedicated email IP</x:v>
      </x:c>
      <x:c r="B8" s="34" t="str">
        <x:v>Resend</x:v>
      </x:c>
      <x:c r="C8" s="34" t="str">
        <x:v>$30 / month provider</x:v>
      </x:c>
      <x:c r="D8" s="34" t="str">
        <x:v>$50 / month customer add-on after Resend eligibility</x:v>
      </x:c>
      <x:c r="E8" s="34" t="str">
        <x:v>Yes if offered</x:v>
      </x:c>
      <x:c r="F8" s="34" t="str">
        <x:v>Public + eligibility</x:v>
      </x:c>
      <x:c r="G8" s="34" t="str">
        <x:v>https://resend.com/pricing</x:v>
      </x:c>
    </x:row>
    <x:row r="9">
      <x:c r="A9" s="34" t="str">
        <x:v>Additional developer seat</x:v>
      </x:c>
      <x:c r="B9" s="34" t="str">
        <x:v>Multivrs</x:v>
      </x:c>
      <x:c r="C9" s="34" t="str">
        <x:v>$20 / seat-month customer price</x:v>
      </x:c>
      <x:c r="D9" s="34" t="str">
        <x:v>Quantity-based flat recurring subscription item</x:v>
      </x:c>
      <x:c r="E9" s="34" t="str">
        <x:v>Yes</x:v>
      </x:c>
      <x:c r="F9" s="34" t="str">
        <x:v>Internal policy</x:v>
      </x:c>
      <x:c r="G9" s="34" t="str">
        <x:v>multivrs_developer_seat_monthly</x:v>
      </x:c>
    </x:row>
    <x:row r="10">
      <x:c r="A10" s="34" t="str">
        <x:v>Speed Insights</x:v>
      </x:c>
      <x:c r="B10" s="34" t="str">
        <x:v>Multivrs</x:v>
      </x:c>
      <x:c r="C10" s="34" t="str">
        <x:v>$10 / project-month</x:v>
      </x:c>
      <x:c r="D10" s="34" t="str">
        <x:v>Flat recurring add-on; event overage uses analytics meter</x:v>
      </x:c>
      <x:c r="E10" s="34" t="str">
        <x:v>Yes</x:v>
      </x:c>
      <x:c r="F10" s="34" t="str">
        <x:v>Internal policy</x:v>
      </x:c>
      <x:c r="G10" s="34" t="str">
        <x:v>multivrs_speed_insights_monthly</x:v>
      </x:c>
    </x:row>
    <x:row r="11">
      <x:c r="A11" s="34" t="str">
        <x:v>Web Analytics Plus</x:v>
      </x:c>
      <x:c r="B11" s="34" t="str">
        <x:v>Multivrs</x:v>
      </x:c>
      <x:c r="C11" s="34" t="str">
        <x:v>$10 / month</x:v>
      </x:c>
      <x:c r="D11" s="34" t="str">
        <x:v>Flat recurring add-on; advanced queries have cost driver</x:v>
      </x:c>
      <x:c r="E11" s="34" t="str">
        <x:v>Yes</x:v>
      </x:c>
      <x:c r="F11" s="34" t="str">
        <x:v>Internal policy</x:v>
      </x:c>
      <x:c r="G11" s="34" t="str">
        <x:v>multivrs_web_analytics_plus_monthly</x:v>
      </x:c>
    </x:row>
    <x:row r="12">
      <x:c r="A12" s="34" t="str">
        <x:v>Observability Plus</x:v>
      </x:c>
      <x:c r="B12" s="34" t="str">
        <x:v>Multivrs</x:v>
      </x:c>
      <x:c r="C12" s="34" t="str">
        <x:v>$10 / month</x:v>
      </x:c>
      <x:c r="D12" s="34" t="str">
        <x:v>Flat recurring add-on; logs/traces/query costs monitored</x:v>
      </x:c>
      <x:c r="E12" s="34" t="str">
        <x:v>Yes</x:v>
      </x:c>
      <x:c r="F12" s="34" t="str">
        <x:v>Internal policy</x:v>
      </x:c>
      <x:c r="G12" s="34" t="str">
        <x:v>multivrs_observability_plus_monthly</x:v>
      </x:c>
    </x:row>
    <x:row r="13">
      <x:c r="A13" s="34" t="str">
        <x:v>Sanity Growth</x:v>
      </x:c>
      <x:c r="B13" s="34" t="str">
        <x:v>Sanity</x:v>
      </x:c>
      <x:c r="C13" s="34" t="str">
        <x:v>$15 / editor seat-month</x:v>
      </x:c>
      <x:c r="D13" s="34" t="str">
        <x:v>Marketing/CMS overhead, not customer platform usage</x:v>
      </x:c>
      <x:c r="E13" s="34" t="str">
        <x:v>No</x:v>
      </x:c>
      <x:c r="F13" s="34" t="str">
        <x:v>Public</x:v>
      </x:c>
      <x:c r="G13" s="34" t="str">
        <x:v>https://www.sanity.io/pricing</x:v>
      </x:c>
    </x:row>
    <x:row r="14">
      <x:c r="A14" s="34" t="str">
        <x:v>Sanity increased quota</x:v>
      </x:c>
      <x:c r="B14" s="34" t="str">
        <x:v>Sanity</x:v>
      </x:c>
      <x:c r="C14" s="34" t="str">
        <x:v>$299 / month</x:v>
      </x:c>
      <x:c r="D14" s="34" t="str">
        <x:v>Only add to platform overhead if activated</x:v>
      </x:c>
      <x:c r="E14" s="34" t="str">
        <x:v>No</x:v>
      </x:c>
      <x:c r="F14" s="34" t="str">
        <x:v>Public</x:v>
      </x:c>
      <x:c r="G14" s="34" t="str">
        <x:v>https://www.sanity.io/pricing</x:v>
      </x:c>
    </x:row>
    <x:row r="15">
      <x:c r="A15" s="34" t="str">
        <x:v>Cloudflare Load Balancing</x:v>
      </x:c>
      <x:c r="B15" s="34" t="str">
        <x:v>Cloudflare</x:v>
      </x:c>
      <x:c r="C15" s="34" t="str">
        <x:v>Paid add-on; dashboard/contract price</x:v>
      </x:c>
      <x:c r="D15" s="34" t="str">
        <x:v>Enterprise only until an actual provider quote is recorded</x:v>
      </x:c>
      <x:c r="E15" s="34" t="str">
        <x:v>No</x:v>
      </x:c>
      <x:c r="F15" s="34" t="str">
        <x:v>Quote</x:v>
      </x:c>
      <x:c r="G15" s="34" t="str">
        <x:v>https://developers.cloudflare.com/load-balancing/</x:v>
      </x:c>
    </x:row>
    <x:row r="16">
      <x:c r="A16" s="34" t="str">
        <x:v>Cloudflare advanced WAF/Bot/BYOIP</x:v>
      </x:c>
      <x:c r="B16" s="34" t="str">
        <x:v>Cloudflare</x:v>
      </x:c>
      <x:c r="C16" s="34" t="str">
        <x:v>Plan/enterprise contract</x:v>
      </x:c>
      <x:c r="D16" s="34" t="str">
        <x:v>Never mark as zero-cost; pass through vendor cost + reserve + margin</x:v>
      </x:c>
      <x:c r="E16" s="34" t="str">
        <x:v>No</x:v>
      </x:c>
      <x:c r="F16" s="34" t="str">
        <x:v>Quote</x:v>
      </x:c>
      <x:c r="G16" s="34" t="str">
        <x:v>https://developers.cloudflare.com/waf/</x:v>
      </x:c>
    </x:row>
    <x:row r="17">
      <x:c r="A17" s="34" t="str">
        <x:v>Compliance (SOC 2, ISO, PCI, HIPAA, TISAX)</x:v>
      </x:c>
      <x:c r="B17" s="34" t="str">
        <x:v>Auditors/legal/providers</x:v>
      </x:c>
      <x:c r="C17" s="34" t="str">
        <x:v>Annual program cost</x:v>
      </x:c>
      <x:c r="D17" s="34" t="str">
        <x:v>Enterprise platform minimum/annual commitment; not a per-request line</x:v>
      </x:c>
      <x:c r="E17" s="34" t="str">
        <x:v>No</x:v>
      </x:c>
      <x:c r="F17" s="34" t="str">
        <x:v>Quote</x:v>
      </x:c>
      <x:c r="G17" s="34" t="str">
        <x:v>Obtain auditor, legal and insurer quotes before selling</x:v>
      </x:c>
    </x:row>
    <x:row r="18">
      <x:c r="A18" s="34" t="str">
        <x:v>Stripe Billing</x:v>
      </x:c>
      <x:c r="B18" s="34" t="str">
        <x:v>Stripe</x:v>
      </x:c>
      <x:c r="C18" s="34" t="str">
        <x:v>0.7% Billing volume on PAYG</x:v>
      </x:c>
      <x:c r="D18" s="34" t="str">
        <x:v>Deduct from gross margin; not a customer add-on</x:v>
      </x:c>
      <x:c r="E18" s="34" t="str">
        <x:v>No</x:v>
      </x:c>
      <x:c r="F18" s="34" t="str">
        <x:v>Public</x:v>
      </x:c>
      <x:c r="G18" s="34" t="str">
        <x:v>https://stripe.com/billing/pricing</x:v>
      </x:c>
    </x:row>
    <x:row r="19">
      <x:c r="A19" s="34" t="str">
        <x:v>Stripe Payments</x:v>
      </x:c>
      <x:c r="B19" s="34" t="str">
        <x:v>Stripe</x:v>
      </x:c>
      <x:c r="C19" s="34" t="str">
        <x:v>2.9% + $0.30 US domestic card example</x:v>
      </x:c>
      <x:c r="D19" s="34" t="str">
        <x:v>Deduct from gross margin; actual Nigeria/international/FX rates may differ</x:v>
      </x:c>
      <x:c r="E19" s="34" t="str">
        <x:v>No</x:v>
      </x:c>
      <x:c r="F19" s="34" t="str">
        <x:v>Public</x:v>
      </x:c>
      <x:c r="G19" s="34" t="str">
        <x:v>https://stripe.com/pricing</x:v>
      </x:c>
    </x:row>
    <x:row r="20">
      <x:c r="A20" s="34" t="str">
        <x:v>Enterprise platform fee</x:v>
      </x:c>
      <x:c r="B20" s="34" t="str">
        <x:v>Multivrs</x:v>
      </x:c>
      <x:c r="C20" s="34" t="str">
        <x:v>$500 / month recommended minimum</x:v>
      </x:c>
      <x:c r="D20" s="34" t="str">
        <x:v>Negotiated recurring price; increase for SLA, security, support and isolated infrastructure</x:v>
      </x:c>
      <x:c r="E20" s="34" t="str">
        <x:v>Yes — custom recurring price</x:v>
      </x:c>
      <x:c r="F20" s="34" t="str">
        <x:v>Internal policy</x:v>
      </x:c>
      <x:c r="G20" s="34" t="str">
        <x:v>Editable on Read Me &amp; Examples and Quote Builder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66" hidden="0" customWidth="1"/>
  </x:cols>
  <x:sheetData>
    <x:row r="1" ht="34" customHeight="1">
      <x:c r="A1" s="29" t="str">
        <x:v>Official Pricing Sources</x:v>
      </x:c>
      <x:c r="B1" s="29" t="str">
        <x:v>Official Pricing Sources</x:v>
      </x:c>
      <x:c r="C1" s="29" t="str">
        <x:v>Official Pricing Sources</x:v>
      </x:c>
    </x:row>
    <x:row r="2" ht="30" customHeight="1">
      <x:c r="A2" s="30" t="str">
        <x:v>Rates were reviewed on 3 August 2026. Provider pricing can change; re-check before signing a long custom contract.</x:v>
      </x:c>
      <x:c r="B2" s="30" t="str">
        <x:v>Rates were reviewed on 3 August 2026. Provider pricing can change; re-check before signing a long custom contract.</x:v>
      </x:c>
      <x:c r="C2" s="30" t="str">
        <x:v>Rates were reviewed on 3 August 2026. Provider pricing can change; re-check before signing a long custom contract.</x:v>
      </x:c>
    </x:row>
    <x:row r="3">
      <x:c r="A3" s="31"/>
      <x:c r="B3" s="31"/>
      <x:c r="C3" s="31"/>
    </x:row>
    <x:row r="4" ht="28" customHeight="1">
      <x:c r="A4" s="33" t="str">
        <x:v>Provider / topic</x:v>
      </x:c>
      <x:c r="B4" s="33" t="str">
        <x:v>Official URL</x:v>
      </x:c>
      <x:c r="C4" s="33" t="str">
        <x:v>What it supports</x:v>
      </x:c>
    </x:row>
    <x:row r="5">
      <x:c r="A5" s="34" t="str">
        <x:v>Cloudflare Workers</x:v>
      </x:c>
      <x:c r="B5" s="34" t="str">
        <x:v>https://developers.cloudflare.com/workers/platform/pricing/</x:v>
      </x:c>
      <x:c r="C5" s="34" t="str">
        <x:v>Requests, CPU, logs, Queues, Workflows, D1 and $5 Workers Paid minimum.</x:v>
      </x:c>
    </x:row>
    <x:row r="6">
      <x:c r="A6" s="34" t="str">
        <x:v>Cloudflare R2</x:v>
      </x:c>
      <x:c r="B6" s="34" t="str">
        <x:v>https://developers.cloudflare.com/r2/pricing/</x:v>
      </x:c>
      <x:c r="C6" s="34" t="str">
        <x:v>Storage, Class A/B operations, free Internet egress.</x:v>
      </x:c>
    </x:row>
    <x:row r="7">
      <x:c r="A7" s="34" t="str">
        <x:v>Cloudflare KV</x:v>
      </x:c>
      <x:c r="B7" s="34" t="str">
        <x:v>https://developers.cloudflare.com/kv/platform/pricing/</x:v>
      </x:c>
      <x:c r="C7" s="34" t="str">
        <x:v>KV read/write/list/delete/storage rates.</x:v>
      </x:c>
    </x:row>
    <x:row r="8">
      <x:c r="A8" s="34" t="str">
        <x:v>Cloudflare Containers</x:v>
      </x:c>
      <x:c r="B8" s="34" t="str">
        <x:v>https://developers.cloudflare.com/containers/pricing/</x:v>
      </x:c>
      <x:c r="C8" s="34" t="str">
        <x:v>CPU, memory, disk and regional egress.</x:v>
      </x:c>
    </x:row>
    <x:row r="9">
      <x:c r="A9" s="34" t="str">
        <x:v>Cloudflare Images</x:v>
      </x:c>
      <x:c r="B9" s="34" t="str">
        <x:v>https://developers.cloudflare.com/images/pricing/</x:v>
      </x:c>
      <x:c r="C9" s="34" t="str">
        <x:v>Unique transformations, image storage and delivery.</x:v>
      </x:c>
    </x:row>
    <x:row r="10">
      <x:c r="A10" s="34" t="str">
        <x:v>Cloudflare Analytics Engine</x:v>
      </x:c>
      <x:c r="B10" s="34" t="str">
        <x:v>https://developers.cloudflare.com/analytics/analytics-engine/pricing/</x:v>
      </x:c>
      <x:c r="C10" s="34" t="str">
        <x:v>Announced future writes/query pricing; not billing yet.</x:v>
      </x:c>
    </x:row>
    <x:row r="11">
      <x:c r="A11" s="34" t="str">
        <x:v>Cloudflare Durable Objects</x:v>
      </x:c>
      <x:c r="B11" s="34" t="str">
        <x:v>https://developers.cloudflare.com/durable-objects/platform/pricing/</x:v>
      </x:c>
      <x:c r="C11" s="34" t="str">
        <x:v>Compute and SQLite storage.</x:v>
      </x:c>
    </x:row>
    <x:row r="12">
      <x:c r="A12" s="34" t="str">
        <x:v>Cloudflare for SaaS</x:v>
      </x:c>
      <x:c r="B12" s="34" t="str">
        <x:v>https://developers.cloudflare.com/cloudflare-for-platforms/cloudflare-for-saas/plans/</x:v>
      </x:c>
      <x:c r="C12" s="34" t="str">
        <x:v>100 included hostnames and $0.10 additional hostnames.</x:v>
      </x:c>
    </x:row>
    <x:row r="13">
      <x:c r="A13" s="34" t="str">
        <x:v>Resend</x:v>
      </x:c>
      <x:c r="B13" s="34" t="str">
        <x:v>https://resend.com/pricing</x:v>
      </x:c>
      <x:c r="C13" s="34" t="str">
        <x:v>Plans, $0.90/1K overage and $30 dedicated IP add-on.</x:v>
      </x:c>
    </x:row>
    <x:row r="14">
      <x:c r="A14" s="34" t="str">
        <x:v>Resend quotas</x:v>
      </x:c>
      <x:c r="B14" s="34" t="str">
        <x:v>https://resend.com/docs/knowledge-base/account-quotas-and-limits</x:v>
      </x:c>
      <x:c r="C14" s="34" t="str">
        <x:v>Outbound and inbound both consume email quota.</x:v>
      </x:c>
    </x:row>
    <x:row r="15">
      <x:c r="A15" s="34" t="str">
        <x:v>Stripe Billing</x:v>
      </x:c>
      <x:c r="B15" s="34" t="str">
        <x:v>https://stripe.com/billing/pricing</x:v>
      </x:c>
      <x:c r="C15" s="34" t="str">
        <x:v>0.7% PAYG Billing volume; basic Meters API included up to stated event allowance.</x:v>
      </x:c>
    </x:row>
    <x:row r="16">
      <x:c r="A16" s="34" t="str">
        <x:v>Stripe Payments</x:v>
      </x:c>
      <x:c r="B16" s="34" t="str">
        <x:v>https://stripe.com/pricing</x:v>
      </x:c>
      <x:c r="C16" s="34" t="str">
        <x:v>Payment processing fees are separate from Billing.</x:v>
      </x:c>
    </x:row>
    <x:row r="17">
      <x:c r="A17" s="34" t="str">
        <x:v>Stripe usage billing</x:v>
      </x:c>
      <x:c r="B17" s="34" t="str">
        <x:v>https://docs.stripe.com/billing/subscriptions/usage-based/how-it-works</x:v>
      </x:c>
      <x:c r="C17" s="34" t="str">
        <x:v>Meters, events, subscription prices and invoicing lifecycle.</x:v>
      </x:c>
    </x:row>
    <x:row r="18">
      <x:c r="A18" s="34" t="str">
        <x:v>Neon</x:v>
      </x:c>
      <x:c r="B18" s="34" t="str">
        <x:v>https://neon.com/pricing</x:v>
      </x:c>
      <x:c r="C18" s="34" t="str">
        <x:v>Database compute and storage rates.</x:v>
      </x:c>
    </x:row>
    <x:row r="19">
      <x:c r="A19" s="34" t="str">
        <x:v>Sanity</x:v>
      </x:c>
      <x:c r="B19" s="34" t="str">
        <x:v>https://www.sanity.io/pricing</x:v>
      </x:c>
      <x:c r="C19" s="34" t="str">
        <x:v>CMS plan and add-on overhead.</x:v>
      </x:c>
    </x:row>
  </x:sheetData>
  <x:mergeCells>
    <x:mergeCell ref="A1:C1"/>
    <x:mergeCell ref="A2:C2"/>
  </x:mergeCells>
  <x:pageMargins left="0.7" right="0.7" top="0.75" bottom="0.75" header="0.3" footer="0.3"/>
</x:worksheet>
</file>